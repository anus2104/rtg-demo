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iworkhub-my.sharepoint.com/personal/tjohnson_roomstogo_com/Documents/Desktop/"/>
    </mc:Choice>
  </mc:AlternateContent>
  <xr:revisionPtr revIDLastSave="781" documentId="8_{4C54C50F-9A1D-456B-A6C1-34AF7AF0127D}" xr6:coauthVersionLast="47" xr6:coauthVersionMax="47" xr10:uidLastSave="{080157F3-A1D5-40A9-A656-908E3D3FCFB7}"/>
  <bookViews>
    <workbookView xWindow="-120" yWindow="-120" windowWidth="29040" windowHeight="15720" xr2:uid="{F183AA5F-73C2-4862-8629-A7403F74E1E4}"/>
  </bookViews>
  <sheets>
    <sheet name="Products (2)" sheetId="1" r:id="rId1"/>
    <sheet name="Sheet1" sheetId="2" r:id="rId2"/>
  </sheets>
  <definedNames>
    <definedName name="_xlnm._FilterDatabase" localSheetId="0" hidden="1">'Products (2)'!$A$1:$P$487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2" i="1"/>
</calcChain>
</file>

<file path=xl/sharedStrings.xml><?xml version="1.0" encoding="utf-8"?>
<sst xmlns="http://schemas.openxmlformats.org/spreadsheetml/2006/main" count="6527" uniqueCount="1373">
  <si>
    <t>Customer Description</t>
  </si>
  <si>
    <t>Regular Price</t>
  </si>
  <si>
    <t>Specialty Brand</t>
  </si>
  <si>
    <t>Collection Copy</t>
  </si>
  <si>
    <t>Mattress Designation</t>
  </si>
  <si>
    <t>Mattress Size</t>
  </si>
  <si>
    <t>Mattress Type</t>
  </si>
  <si>
    <t>Pressure Relief</t>
  </si>
  <si>
    <t>Sleep Position</t>
  </si>
  <si>
    <t>Support Level</t>
  </si>
  <si>
    <t>Temperature Management</t>
  </si>
  <si>
    <t>Comfort</t>
  </si>
  <si>
    <t>TWX CASPER CLOUD ONE</t>
  </si>
  <si>
    <t>CASPER</t>
  </si>
  <si>
    <t>Adult</t>
  </si>
  <si>
    <t>Twin XL</t>
  </si>
  <si>
    <t>Foam</t>
  </si>
  <si>
    <t>3-Superior</t>
  </si>
  <si>
    <t>Side/Back/Stomach</t>
  </si>
  <si>
    <t>2-Good</t>
  </si>
  <si>
    <t>Medium</t>
  </si>
  <si>
    <t>TWXL CASPER ONE</t>
  </si>
  <si>
    <t>Stomach/Back</t>
  </si>
  <si>
    <t>Firm</t>
  </si>
  <si>
    <t>TWXL CASPER DREAM</t>
  </si>
  <si>
    <t>Hybrid</t>
  </si>
  <si>
    <t>TWXL CASPER SNOW 2.0</t>
  </si>
  <si>
    <t>Casper signature cooling hybrid mattress. Specialty cool-to-the-touch fibers give an instantly refreshing feel. Phase Change Materialinstantly pulls heat away whileHeatDeleteT Bandsremove excess body heat to help yousleep 5 cooler all night long. Soothe Memory Foam conforms to the body and gently eases you into deep sleep. Zoned Support helps keep your spine in alignment with firmer foam under the hips, waist and lower back. Individually pocketed Flex Coils reduce motion transfer and boost support.</t>
  </si>
  <si>
    <t>4-Premier</t>
  </si>
  <si>
    <t>TWXL CASPER SNOW MAX</t>
  </si>
  <si>
    <t>Ultimate cooling hybrid mattress.  Specialty cool-to-the-touch fibers give an instantly refreshing feel. Phase Change MaterialandHeatDeleteT Bands remove excess body heat and help yousleep 6 cooler all night long.  Precision-cut foam and encased coils for a breathable and supportive medium-soft feel. Ultra-supportive Align Memory Foam keeps you aligned for your deepest sleep.  Firmer center foam cradles your body while giving added support to your hips, waist and lower back. Individually pocketed Flex Coils flex reduce motion transfer and boost support.</t>
  </si>
  <si>
    <t>Side/Back</t>
  </si>
  <si>
    <t>5-Ultimate</t>
  </si>
  <si>
    <t>Soft</t>
  </si>
  <si>
    <t>TWXL CASPER DREAM MAX</t>
  </si>
  <si>
    <t>TWXL CASPER ONYX 2.0</t>
  </si>
  <si>
    <t>The Casper Onyx mattress is designed with 3 layers of foam for comfort, breathability and support. Obsessively engineered by Casper's award-winning research and development team, this mattress contains Breathe Flex Foam for support and pressure relief &amp; Breathe Foam for air flow that pairs breathability with softness for all-night comfort. Key FeaturesA cozy knit cover designed with added stretch so you can experience all the comfort your mattress has to offer.  Features a top layer of Breathe Flex Foam that's both responsive and breathable to soothe you to sleep with the perfect bit of bounce.  A firm Casper Core base provides long-lasting support while preventing sinking and sagging. Foams are certified by the CertiPUR-US program, meaning they are made without ozone depleting chemicals and regulated by the Consumer Product Safety Commission Low VOC Volatile Organic Compound emissions for indoor air quality less than 0.5 parts per million.</t>
  </si>
  <si>
    <t>TWX SMART MATCH 2.0</t>
  </si>
  <si>
    <t>KINGSDOWN</t>
  </si>
  <si>
    <t>Innerspring</t>
  </si>
  <si>
    <t>8 INCH FUTON MATTRES</t>
  </si>
  <si>
    <t>Kid</t>
  </si>
  <si>
    <t>ASTRO KIDS PILLOW W/PILLOW CASE</t>
  </si>
  <si>
    <t>BEDGEAR</t>
  </si>
  <si>
    <t>Full,Twin</t>
  </si>
  <si>
    <t>TWXL ADAPT MEDIUM</t>
  </si>
  <si>
    <t>TEMPURPEDIC</t>
  </si>
  <si>
    <t>.Superior cool-to-the-touch feel with a premium knit cover..TEMPUR-Material provides one-of-a-kind, body-conforming support by responding to your body's weight, shape, and temperature to help reduce aches and pains..A second layer of TEMPUR-Material absorbs motion to help minimize disruptions caused by movement from partners, pets, or kids.</t>
  </si>
  <si>
    <t>TWXL ADAPT MEDIUM HYBRID</t>
  </si>
  <si>
    <t>.Superior cool-to-the-touch feel with a premium knit cover..TEMPUR-Material provides one-of-a-kind, body-conforming support by responding to your body's weight, shape, and temperature to help reduce aches and pains..A second layer of TEMPUR-Material absorbs motion to help minimize disruptions caused by movement from partners, pets, or kids..Hybrid technology combines premium innersprings with TEMPUR-Material to deliver the right combination of pressure relief and support.</t>
  </si>
  <si>
    <t>TWXL PROADAPT FIRM</t>
  </si>
  <si>
    <t>.The removable, machine-washable, and cool-to-the-touch SmartClimate cover features heat-absorbing fibers, drawing heat away from the body for added cooling comfort..Ventilated Advanced Relief Material provides pressure relief and added ventilation for increased airflow..TEMPUR-Material provides one-of-a-kind, body-conforming support by responding to your body's weight, shape, and temperature.</t>
  </si>
  <si>
    <t>TWXL PROBREEZE MEDIUM</t>
  </si>
  <si>
    <t>TWXL PROBREEZE MED HYBRID</t>
  </si>
  <si>
    <t>Experience all-night cooling with the all-new TEMPUR-ProBreeze mattress. Features a removable, machine-washable cover with heat-absorbing fibers that provide cooling comfort. Premium hybrid technology combines over 1,000 innersprings with Tempur-Pedic's pressure relieving and cooling materials. Delivers exceptional support and ensures cool and comfortable sleep every night.</t>
  </si>
  <si>
    <t>TWXL PROADAPT MEDIUM</t>
  </si>
  <si>
    <t>TWXL PROADAPT SOFT</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</si>
  <si>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conforms to your body for ultimate comfort.</t>
  </si>
  <si>
    <t>TWXL PROADAPT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</si>
  <si>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.Hybrid technology mixes premium innersprings with one-of-a-kind Tempur-Pedic materials to deliver the right combination of relief and support.</t>
  </si>
  <si>
    <t>TWXL LUXEADAPT SOFT</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</si>
  <si>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.An ergonomic 5-zone support layer conforms to your body for targeted support in the spine, hips, and shoulders for personalized comfort.</t>
  </si>
  <si>
    <t>TWXL LUXEADAPT FIRM</t>
  </si>
  <si>
    <t>TWXL LUXEADAPT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</si>
  <si>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.Hybrid technology mixes premium innersprings with a proprietary hybrid material to deliver a lighter, more-responsive feel that helps support any sleep position.</t>
  </si>
  <si>
    <t>TWXL ACTIVE BREEZE MEDIUM HYBRID</t>
  </si>
  <si>
    <t>TWXL LUXEBREEZE MED HYB</t>
  </si>
  <si>
    <t>TWXL LUXEBREEZE SOFT</t>
  </si>
  <si>
    <t>The all-new TEMPUR-LuxeBreeze mattress feels up to 10 cooler. Features advanced Pure Cool Plus material designed to pull heat away from the body so even the hottest sleepers can stay cool throughout the night. One-of-a-kind Tempur-Pedic Ventilated Advanced Relief material increases airflow throughout the mattress for a deeper, more restful sleep.</t>
  </si>
  <si>
    <t>TWXL LUXEBREEZE FIRM</t>
  </si>
  <si>
    <t>TWX T&amp;N TN3.1</t>
  </si>
  <si>
    <t>TUFT &amp; NEEDLE</t>
  </si>
  <si>
    <t>TWX T&amp;N TN5.1</t>
  </si>
  <si>
    <t>TWX T&amp;N TN7.1</t>
  </si>
  <si>
    <t>Twin</t>
  </si>
  <si>
    <t>TWX T&amp;N TN9.1</t>
  </si>
  <si>
    <t>TWX T&amp;N TN1</t>
  </si>
  <si>
    <t>Reclaim your nights and wake refreshed for your days with the Tuft &amp; Needle TN1 12 Firm mattress. Available in a standard flat-mattress construction, this mattress offers innovative cooling, responsive pressure relief, and the bounce back support of T&amp;N Adaptive foam, so you can sink deeply into sleep-but never into your mattress. Unlike memory foam, Tuft &amp; Needle's T&amp;N Adaptive foam doesn't sink under your weight. Instead, it keeps you lifted while contouring to relieve pressure where you need it most. Rest easy as this ventilated foam helps channel airflow through the mattress and a breathable cover helps you sleep comfortably. Plus, feel cool as T&amp;N AdaptiveCool gel foam technology, designed to help absorb heat, is ribboned across the center-third of the mattress to promote optimal cooling. With the addition of comfortable support foams, each Tuft &amp; Needle TN1 12 Firm flat-mattress protects your rest so you can wake up refreshed and ready for the day.</t>
  </si>
  <si>
    <t>TWXL MOLECULE CORE</t>
  </si>
  <si>
    <t>MOLECULE</t>
  </si>
  <si>
    <t>TWXL BROAD PEAK</t>
  </si>
  <si>
    <t>BEAUTYREST SELECT</t>
  </si>
  <si>
    <t>Developed by the pioneer of the hybrid mattress, the new Beautyrest Select Hybrid line offers consistent that conforms to your body, allowing you to find your optimal sleep position. The superior stretch and recovery surface adapts with you throughout the night, enabling you to engage more closely with the pressure relieving memory foams for a deep, easy sleep. This unique construction enhances the benefits of both our Pocketed Coil Technology and gel memory foams to provide comfort and breathability.</t>
  </si>
  <si>
    <t>TWX BAY DREAMER</t>
  </si>
  <si>
    <t>TOMMY BAHAMA</t>
  </si>
  <si>
    <t>TWX MAKE WAVES</t>
  </si>
  <si>
    <t>TWX SEASIDE SERENITY</t>
  </si>
  <si>
    <t>TWX BALDWIN</t>
  </si>
  <si>
    <t>THERAPEDIC KIDS</t>
  </si>
  <si>
    <t>1-Basic</t>
  </si>
  <si>
    <t>TWX HAMEL</t>
  </si>
  <si>
    <t>TWX IMPREZA</t>
  </si>
  <si>
    <t>TWX AURORA</t>
  </si>
  <si>
    <t>THERAPEDIC</t>
  </si>
  <si>
    <t>TWX BRANSTON</t>
  </si>
  <si>
    <t>TWX CARROLTON</t>
  </si>
  <si>
    <t>TWX EVERDEEN</t>
  </si>
  <si>
    <t>TWX FORESTER</t>
  </si>
  <si>
    <t>Extra Firm</t>
  </si>
  <si>
    <t>TWXL GLASSBORO</t>
  </si>
  <si>
    <t>Extra Soft</t>
  </si>
  <si>
    <t>TWX DARLINGTON</t>
  </si>
  <si>
    <t>TWXL BAHIA</t>
  </si>
  <si>
    <t>TWXL HASTINGS</t>
  </si>
  <si>
    <t>THERAPEDIC HYBRID</t>
  </si>
  <si>
    <t>TWXL JAMAICA</t>
  </si>
  <si>
    <t>TWXL KAANAPALI</t>
  </si>
  <si>
    <t>TWXL LEDO</t>
  </si>
  <si>
    <t>TWX ALLANTON</t>
  </si>
  <si>
    <t>TWX ADVANCED MEDIUM</t>
  </si>
  <si>
    <t>TWX ADVANCED PLUSH PILLOW TOP</t>
  </si>
  <si>
    <t>TWXL CAPERTEE</t>
  </si>
  <si>
    <t>DREW &amp; JONATHAN</t>
  </si>
  <si>
    <t>TWXL RUBY RANCH</t>
  </si>
  <si>
    <t>TWXL WESTWATER</t>
  </si>
  <si>
    <t>TWXL ARADA CANYON</t>
  </si>
  <si>
    <t>TWX OCEANA MIST</t>
  </si>
  <si>
    <t>BEAUTYSLEEP</t>
  </si>
  <si>
    <t>The Beauty Sleep Oceana Mist 11.5 Medium Hybrid mattress is designed for your lifestyle. With a smooth top panel, the Beauty Sleep Oceana Mist 11.5 Medium Hybrid mattress features AllCool Gel Foam and AllCool Gel Memory Foam that contours to your body for the ultimate pressure relief. Premium foams provide a responsive sleep surface for all-night comfort, support, airflow, and breathability. Plus, firm 815 Original Beauty Sleep Pocketed Coils provide consistent, supportive sleep at a value designed for your lifestyle. Medium Smooth Top Hybrid mattress.</t>
  </si>
  <si>
    <t>TWXL BR HARMONY LUX MEDIUM</t>
  </si>
  <si>
    <t>TWXL WORLD CLASS LEVEL THREE PLUSH</t>
  </si>
  <si>
    <t>BEAUTYREST WORLD CLASS</t>
  </si>
  <si>
    <t>Step up to a world class sleep experience with Beautyrest World Class. Provides cushy comfort that responds to movement with a soft-yet-supportive feel. InfiniCool MAX Technology adds advanced cooling with vertical cooling fibers. SurfaceTouch Gel Memory Foam is quilted into the sleep surface to unlock immediate, advanced comfort. World Class Relief HD Foam, featured in all level three Beautyrest mattresses, adapts to body temperature, providing responsive pressure relief. Beautyrest ActiveResponse MAX HD Memory Foam creates high-density contouring to help alleviate aches and pains. 1000-density Pocketed Coil Technology and higher density foams offer individualized support  motion separation.</t>
  </si>
  <si>
    <t>TWXL WORLD CLASS LEVEL THREE MED PT</t>
  </si>
  <si>
    <t>Step up to a world class sleep experience with Beautyrest World Class. Provides medium support with just the right amount of pressure relief and cloud-like top layer. InfiniCool MAX Technology adds advanced cooling combined with natural lux fibers for added surface breathability. SurfaceTouch Gel Memory Foam is quilted into the sleep surface to unlock immediate, advanced comfort. GelTouch Foam helps provide comfort, support, airflow and breathability. World Class Relief HD Foam, featured in all level three Beautyrest mattresses, adapts to body temperature, providing responsive pressure relief. Beautyrest ActiveResponse MAX HD Memory Foam creates high-density contouring to help alleviate aches and pains. 1000-density Pocketed Coil Technology and higher density foams offer individualized support  motion separation.</t>
  </si>
  <si>
    <t>TWXL WORLD CLASS LEVEL FOUR PLUSH PT</t>
  </si>
  <si>
    <t>Step up to a world class sleep experience with Beautyrest World Class. Provides cushy comfort that responds to movement with a soft-yet-supportive feel and a cloud-like top layer. InfiniCool MAX Technology adds advanced cooling with vertical cooling fibers. Level Four mattresses feature twice the SurfaceTouch Gel Memory Foam, unlocking even more pressure relief right at the surface. World Class Relief HD Foam, featured in all level four Beautyrest mattresses, offers remarkable pressure relief that responds to your body. Beautyrest ActiveResponse MAX HD Memory Foam helps alleviate aches and pains withhigh-density contouring. 1000-density Pocketed Coil Technology and higher density foams offer individualized support  motion separation.</t>
  </si>
  <si>
    <t>TWX KERRY PARK</t>
  </si>
  <si>
    <t>CORRECT COMFORT</t>
  </si>
  <si>
    <t>TWX BRADFORD HILL</t>
  </si>
  <si>
    <t>TWX NORTHGATE</t>
  </si>
  <si>
    <t>TWXL ALBANY FOAM</t>
  </si>
  <si>
    <t>POSTUREPEDIC PLUS</t>
  </si>
  <si>
    <t>TWXL BRIERWOOD</t>
  </si>
  <si>
    <t>POSTUREPEDIC</t>
  </si>
  <si>
    <t>The Sealy Posturepedic Briarwood Medium mattress offers lasting comfort and superior support to help maintain natural body alignment and reduce nagging Bed Aches. The orthopedic-inspired Posturepedic Support System features exclusive PrecisionFit Coils, arranged right where you need them. Plus the Coil Edge provides a solid surface that's built to last.</t>
  </si>
  <si>
    <t>TWXL ORCHARDSIDE</t>
  </si>
  <si>
    <t>TWXL CASTLE ROCK</t>
  </si>
  <si>
    <t>The Sealy Posturepedic Castle Rock Medium EPT mattress delivers pressure-relieving comfort to help maintain natural body alignment and reduce nagging Bed Aches night after night. The orthopedic-inspired Posturepedic Plus Support System features exclusive PrecisionFit Coils, arranged right where you need them. Plus, the DuraFlex Coil Edge provides a reinforced solid surface that's built to last.</t>
  </si>
  <si>
    <t>TWXL PEBBLEBROOK</t>
  </si>
  <si>
    <t>POSTUREPEDIC PRO</t>
  </si>
  <si>
    <t>The Sealy Posturepedic Pebblebrook Medium mattress offers pressure-relieving comfort and targeted support to help maintain natural body alignment and reduce nagging Bed Aches night after night. The orthopedic-inspired Posturepedic Pro Support System features exclusive PrecisionFit Coils enhanced by MaxSupport Technology for all-over support. And the DuraFlex Coil Edge provides a reinforced solid surface that's built to last.</t>
  </si>
  <si>
    <t>TWXL PENNSBORO</t>
  </si>
  <si>
    <t>TWXL SONTERRA</t>
  </si>
  <si>
    <t>TWXL ALBANY II</t>
  </si>
  <si>
    <t>TWX SERIES ONE EXTRA FIRM</t>
  </si>
  <si>
    <t>BEAUTYREST BLACK</t>
  </si>
  <si>
    <t>Experience extraordinary sleep at the intersection of luxury and innovation with the Beautyrest Black Collection's premier materials and advanced sleep technology.  Triple-Stranded Pocketed Coil Technology offers our highest level of individualized support and motion separation, so you can rest undisturbed.  Specialized vertical fibers combine with an applied surface-cooling technology to help transfer heat away from the body all night.  Contouring foam adheres to the shape of your body for exceptional pressure relief.  High-density, firm-feel comfort foam provides a unique combination of comfort and support night after night.  A unique, channeled design promotes airflow for cool, enhanced pressure relief.  All foams are CertiPUR-US certified.  Our mattresses are proudly assembled in the USA.  Adjustable base compatible.</t>
  </si>
  <si>
    <t>TWX SERIES ONE MEDIUM</t>
  </si>
  <si>
    <t>TWX SERIES ONE PLUSH</t>
  </si>
  <si>
    <t>TWX SERIES ONE FIRM PILLOW TOP</t>
  </si>
  <si>
    <t>TWX SERIES ONE MEDIUM PILLOW TOP</t>
  </si>
  <si>
    <t>TWX SERIES ONE PLUSH PILLOW TOP</t>
  </si>
  <si>
    <t>TWX SERIES TWO FIRM</t>
  </si>
  <si>
    <t>TWX SERIES TWO MEDIUM TT</t>
  </si>
  <si>
    <t>Experience extraordinary sleep at the intersection of luxury and innovation with the Beautyrest Black Collection's premier materials and advanced sleep features. Triple-Stranded Pocketed Coil Technology offers our highest level of individualized support and motion separation, so you can rest undisturbed. Specialized vertical fibers combine with an applied surface-cooling technology to help transfer heat away from the body all night. A supportive foam layer quilted into the sleep surface unlocks advanced pressure relief. Micro Diamond Memory Foam, infused with diamond particles, helps move heat away from the body for a cool sleep. A unique, channeled design promotes airflow for cool, enhanced pressure relief. All foams are CertiPUR-US certified. Our mattresses are proudly assembled in the USA. Adjustable base friendly - helps reduce snoring and enhance comfort.</t>
  </si>
  <si>
    <t>TWX SERIES TWO PLUSH</t>
  </si>
  <si>
    <t>TWX SERIES TWO MED PILLOW TOP</t>
  </si>
  <si>
    <t>TWX SERIES TWO PLUSH PILLOW TOP</t>
  </si>
  <si>
    <t>TWX SERIES THREE EXTRA FIRM</t>
  </si>
  <si>
    <t>TWX SERIES THREE FIRM</t>
  </si>
  <si>
    <t>TWXL SERIES THREE MEDIUM</t>
  </si>
  <si>
    <t>TWXL SERIES THREE FIRM PILLOW TOP</t>
  </si>
  <si>
    <t>Experience extraordinary sleep at the intersection of luxury and innovation with the Beautyrest Black Collection's premier materials and advanced sleep technology. Plus, for an even more luxurious upgrade, Series Three Pillow Top models feature exclusive 2K Nano Coils for enhanced, individualized support throughout the night.Triple-Stranded Pocketed Coil Technology offers our highest level of individualized support and motion separation, so you can rest undisturbed.A layer of specialized foam is quilted into the sleep surface for exceptional pressure relief.A premium memory foam layer, infused with diamond particles, is designed to help move heat away from the body for a cool sleep.Ventilated latex layer maximizes airflow and provides advanced pressure relief.A layer of 2K Nano Coils enhances conformability for increased, individualized support All foams are CertiPUR-US certified.Our mattresses are proudly assembled in the USA.Adjustable base compatible.</t>
  </si>
  <si>
    <t>TWXL SERIES THREE MEDIUM PILLOW TOP</t>
  </si>
  <si>
    <t>TWXL SERIES THREE PLUSH PT</t>
  </si>
  <si>
    <t>TWXL SERIES FOUR FIRM PILLOW TOP</t>
  </si>
  <si>
    <t>TWXL SERIES FOUR MEDIUM PILLOW TOP</t>
  </si>
  <si>
    <t>TWXL SERIES FOUR PLUSH SUMMIT PILLOW TOP</t>
  </si>
  <si>
    <t>TWX SERIES ONE FIRM HYBRID</t>
  </si>
  <si>
    <t>TWX SERIES ONE MEDIUM HYBRID</t>
  </si>
  <si>
    <t>TWX SERIES TWO PLUSH HYBRID</t>
  </si>
  <si>
    <t>TWX SERIES TWO MEDIUM APEX HYBRID</t>
  </si>
  <si>
    <t>TWX SERIES THREE FIRM HYBRID</t>
  </si>
  <si>
    <t>TWXL SERIES THREE PLUSH HYBRID</t>
  </si>
  <si>
    <t>TWXL SERIES THREE MEDIUM HYBRID</t>
  </si>
  <si>
    <t>TWXL SERIES FOUR PLUSH APEX TOP HYBRID</t>
  </si>
  <si>
    <t>TWXL ESTATE MEDIUM TT</t>
  </si>
  <si>
    <t>STEARNS &amp; FOSTER</t>
  </si>
  <si>
    <t>TWXL STUDIO MEDIUM TT</t>
  </si>
  <si>
    <t>TWXL STUDIO MEDIUM PT</t>
  </si>
  <si>
    <t>TWXL ESTATE EXTRA FIRM TT</t>
  </si>
  <si>
    <t>Engineered with the best night's sleep in mind, Stearns &amp; Foster Estate Collection takes comfort to the next level. Featuring our TEMPUR-Indulge Memory Foam for enhanced pressure relief. Exclusive IntelliCoil innersprings add night-long support.</t>
  </si>
  <si>
    <t>TWXL ESTATE FIRM TT</t>
  </si>
  <si>
    <t>TWXL ESTATE SOFT TT</t>
  </si>
  <si>
    <t>TWXL ESTATE FIRM PT</t>
  </si>
  <si>
    <t>TWXL ESTATE SOFT PT</t>
  </si>
  <si>
    <t>TWXL LUX ESTATE EXTRA FIRM TT</t>
  </si>
  <si>
    <t>Engineered with luxury and leisure in mind, the Stearns &amp; Foster Lux Estate Collection provides an elevated level of comfort and support. It combines our exclusive TEMPUR-Indulge Memory Foam for enhanced pressure relief with supportive IntelliCoil innersprings with latex for durability. Enhanced cool-to-the-touch cover and additional ventilation throughout the mattress help keep you cool, all night long.</t>
  </si>
  <si>
    <t>TWXL LUX ESTATE MEDIUM TT</t>
  </si>
  <si>
    <t>TWXL LUX ESTATE FIRM PT</t>
  </si>
  <si>
    <t>TWXL LUX ESTATE SOFT PT</t>
  </si>
  <si>
    <t>TWXL LUX ESTATE MEDIUM PT</t>
  </si>
  <si>
    <t>TWXL LUX HYBRID SOFT</t>
  </si>
  <si>
    <t>TWXL RESERVE MEDIUM TT</t>
  </si>
  <si>
    <t>TWXL RESERVE FIRM PT</t>
  </si>
  <si>
    <t>TWXL RESERVE SOFT PT</t>
  </si>
  <si>
    <t>TWXL LUX ESTATE ELITE MEDIUM PT</t>
  </si>
  <si>
    <t>The soft, sustainably sourced TENCEL cover creates a cool and comfortable sleep surface with enhanced cooling fibers. TEMPUR-Indulge Memory Foam comfort layers, developed by the sleep experts at Tempur-Pedic, conform to the body to deliver all-night comfort and pressure relief. The Pillowtop Support Layer features microcoils just below the pillowtop to provide added durability for maintaining overall comfort. Supportive latex comfort layers provide a perfect combination of pressure relief, durability, and a uniquely weightless, yet supported feel. IntelliCoil innersprings are uniquely designed to respond to varying types of pressure, providing the perfect balance of pressure relief and support.</t>
  </si>
  <si>
    <t>TWX LUX HYBRID ELITE MEDIUM</t>
  </si>
  <si>
    <t>TWXL HELIX TWILIGHT</t>
  </si>
  <si>
    <t>HELIX</t>
  </si>
  <si>
    <t>TWXL HELIX MIDNIGHT LUXE</t>
  </si>
  <si>
    <t>TWXL HELIX MIDNIGHT ELITE</t>
  </si>
  <si>
    <t>ECOZY KIDS 5 CRIB MATTRESS</t>
  </si>
  <si>
    <t>Crib</t>
  </si>
  <si>
    <t>ECOZY KIDS 6 CRIB MATTRESS</t>
  </si>
  <si>
    <t>STARRY BABY CRIB MATTRESS</t>
  </si>
  <si>
    <t>BABY BRILLIANCE CRIB MATTRESS</t>
  </si>
  <si>
    <t>TW CASPER CLOUD ONE</t>
  </si>
  <si>
    <t>TW CASPER ONE</t>
  </si>
  <si>
    <t>TW CASPER DREAM</t>
  </si>
  <si>
    <t>TW CASPER ONYX 2.0</t>
  </si>
  <si>
    <t>The Casper Onyx mattress is designed with 3 layers of foam for comfort, breathability and support. Obsessively engineered by Casper's award-winning research and development team, this mattress contains Breathe Flex Foam for support and pressure relief &amp; Breathe Foam for air flow that pairs breathability with softness for all-night comfort. Key Features A cozy knit cover designed with added stretch so you can experience all the comfort your mattress has to offer. Features a top layer of Breathe Flex Foam that's both responsive and breathable to soothe you to sleep with the perfect bit of bounce.A firm Casper Core base provides long-lasting support while preventing sinking and sagging. Foams are certified by the CertiPUR-US program, meaning they are made without ozone depleting chemicals and regulated by the Consumer Product Safety Commission Low VOC Volatile Organic Compound emissions for indoor air quality less than 0.5 parts per million.</t>
  </si>
  <si>
    <t>TW SMART MATCH 2.0</t>
  </si>
  <si>
    <t>TW HESTRIDGE</t>
  </si>
  <si>
    <t>TW TURNBULL</t>
  </si>
  <si>
    <t>.A top layer of gel foam keeps the surface cool while providing pressure relief &amp; support. .A second layer of convoluted foam emphasizes the cooling properties in the mattress. .Foam encased coils ensure personalized support and minimize partner disturbance..Reinforced coils along the perimeter create full, edge-to-edge support throughout the mattress.  .Ensures cool and comfortable sleep throughout the night.</t>
  </si>
  <si>
    <t>TW POOLE</t>
  </si>
  <si>
    <t>TW HAWKE</t>
  </si>
  <si>
    <t>.Gel micro-denier polyester fiber in the cover makes the surface exceptionally soft and resilient. .Tri-tech memory foam includes specialized lumbar support underneath it..Materials are infused with copper, silver and graphite for ultimate comfort. .Gel foam keeps the mattress cool while providing pressure relief and support. .Perimeter wrapped coils provide superior edge-to-edge support at the base level..Ensures comfortable sleep throughout the night.</t>
  </si>
  <si>
    <t>TW GRENSON</t>
  </si>
  <si>
    <t>.The smooth cover is enhanced by the tri-tech memory foam underneath it. .Materials are infused with copper, silver and graphite for ultimate comfort. .Gel foam keeps the mattress cool while providing pressure relief and support. .A bottom layer of 6 foam core gently compresses for customized support where it's needed..This mattress works well with motion bases.</t>
  </si>
  <si>
    <t>TW ADAPT MEDIUM</t>
  </si>
  <si>
    <t>TW ADAPT MEDIUM HYBRID</t>
  </si>
  <si>
    <t>TW PROADAPT FIRM</t>
  </si>
  <si>
    <t>TW PROADAPT MEDIUM</t>
  </si>
  <si>
    <t>TW PROADAPT SOFT</t>
  </si>
  <si>
    <t>TW PROADAPT MEDIUM HYBRID</t>
  </si>
  <si>
    <t>TW T&amp;N TN3.1</t>
  </si>
  <si>
    <t>TW T&amp;N TN5.1</t>
  </si>
  <si>
    <t>TW T&amp;N TN7.1</t>
  </si>
  <si>
    <t>TW T&amp;N TN9.1</t>
  </si>
  <si>
    <t>TW T&amp;N KIDS GLEE</t>
  </si>
  <si>
    <t>Whether they're a teething toddler or a growing teen, help your child wake refreshed with the Tuft &amp; Needle Glee mattress. Featuring a foam construction for cradling comfort, this mattress offers innovative cooling, responsive pressure relief, and the bounce-back support of T&amp;N Adaptive foam, so they can sink deeply into sleep-but never into the mattress. Unlike memory foam, Tuft &amp; Needle's T&amp;N Adaptive foam doesn't sink under weight. Instead, it keeps each sleeper lifted while contouring to relieve pressure where they need it most. With the addition of a breathable cover and reinforced edge support for corner-to-corner comfort, the Tuft &amp; Needle Glee 9 Medium-Firm mattress ensures your child can sleep well, and wake refreshed, for years to come.</t>
  </si>
  <si>
    <t>TW T&amp;N TN1</t>
  </si>
  <si>
    <t>TW MOLECULE CORE</t>
  </si>
  <si>
    <t>TW BROAD PEAK</t>
  </si>
  <si>
    <t>TW SIMMONS KIDS DELIGHT</t>
  </si>
  <si>
    <t>SIMMONS KIDS</t>
  </si>
  <si>
    <t>The Simmons Kids Delight mattress is designed with multiple layers of advanced comfort foam. A plush outer layer provides pressure relief and stable temperature regulation.  A firm comfort foam core adds the proper support for your growing child. The cozy channeled cover offers a refreshing night's rest.</t>
  </si>
  <si>
    <t>TW SIMMONS KIDS GLAD</t>
  </si>
  <si>
    <t>The Simmons Kids Delight mattress is designed with multiple layers of advanced comfort foam. A plush outer layer provides pressure relief all night. Multiple gel foam layers add stable temperature regulation and cradling softness. A medium comfort foam core offers the proper support for your growing child.</t>
  </si>
  <si>
    <t>TW SIMMONS KIDS HAPPY</t>
  </si>
  <si>
    <t>The Simmons Kids Happy mattress is designed with multiple layers of advanced comfort foam and a supportive coil system. A plush outer layer offers cradling softness. Premium gel memory foam provides contouring pressure relief and temperature regulation. 800 individually wrapped coils conform to the body for supported sleep. A firm comfort foam core adds the proper support for your growing child.</t>
  </si>
  <si>
    <t>TW SIMMONS KIDS JOY</t>
  </si>
  <si>
    <t>TW BAY DREAMER</t>
  </si>
  <si>
    <t>Soft firmness. Circular Knit Fabric with Lycra for a soft luxurious feel. TheraCool Enhanced Gel Quilt for maximum comfort and pressure relief while wicking away heat from the body for a cooler nights sleep. Performance Foam provides support, durability and comfortable sleep. Memory Touch Visco Lumbar Support provides conforming support to the lumbar region. TheraWrapedge to edge coil unit offersindividually encased coilsthatmove and conform to the body,eliminating sleep partner disturbances.</t>
  </si>
  <si>
    <t>TW MAKE WAVES</t>
  </si>
  <si>
    <t>Firm firmness. Circular Knit Fabric with Lycra for a soft luxurious feel. Performance Foam provides support, durability and comfortable sleep. TheraCool Visco Gel provides pressure point relief and wicks away heat from the body for a cooler nights sleep. TheraWrapedge to edge coil unit offersindividually encased coilsthatmove and conform to the body,eliminating sleep partner disturbances.</t>
  </si>
  <si>
    <t>TW SEASIDE SERENITY</t>
  </si>
  <si>
    <t>Medium firmness. Circular Knit Fabric with Lycra for a soft luxurious feel. Performance Foam provides support, durability and comfortable sleep. TheraCool Visco Gel provides pressure point relief and wicks away heat from the body for a cooler nights sleep. TheraWrapedge to edge coil unit offersindividually encased coilsthatmove and conform to the body,eliminating sleep partner disturbances.</t>
  </si>
  <si>
    <t>TW ALDER</t>
  </si>
  <si>
    <t>Therapedic's Alder mattress delivers a supportive bed for your growing child. Featuring antimicrobial protection, the quilt cover is enhanced with soft cushioning. For support and durability, this mattress utilizes performance foam to provide comfort for years to come. This product is made with the reassurance of CertiPUR-US foams that meet strict environmental, health and safety codes.</t>
  </si>
  <si>
    <t>TW BALDWIN</t>
  </si>
  <si>
    <t>TW CREEKMORE</t>
  </si>
  <si>
    <t>The Therapedic Creekmore mattress delivers a supportive bed that helps keep itself clean and fresh. Its sanitized finish continually inhibits the growth of odor-causing microbes and bacteria using zinc to keep your mattress fresh. Featuring antimicrobial protection, the quilt cover is enhanced with soft cushioning. TheraCool Memory Touch Visco gel foam maximizes comfort, combining pressure relieving and heat-wicking material. For support and durability, this mattress utilizes performance foam to provide comfort for years to come.</t>
  </si>
  <si>
    <t>TW FLOURISH</t>
  </si>
  <si>
    <t>Designed to grow with your child, the Therapedic Flourish 2-Sided mattress makes a long-lasting bed that gives them the support they need. With two unique sides, this mattress includes zoned support based on your child's weight to provide proper support for their growth. TheraCool advanced gel foam promotes comfort, combining pressure relieving and heat-wicking material. Featuring antimicrobial protection, the quilt cover is enhanced with soft cushioning. Memory Touch Visco foam maximizes comfort, providing support and reducing pressure points. This premium foam adapts to weight and temperature for a customized sleep experience. For support and durability, this mattress utilizes performance foam to provide comfort for years to come.</t>
  </si>
  <si>
    <t>TW ELARA</t>
  </si>
  <si>
    <t>TW HAMEL</t>
  </si>
  <si>
    <t>Boasting innovative sleep technology, the Therapedic Hamel mattress epitomizes comfort with the addition of self-cleaning properties. Its sanitized finish continually inhibits the growth of odor-causing microbes and bacteria using zinc to keep your mattress fresh. Perfect for children sharing a bed, TheraWrap Edge to Edge coils reduce motion transfer to prevent partner disturbance. Each individual coil moves independently, conforming to fit the sleeper. Featuring antimicrobial protection, the quilt cover is enhanced with soft cushioning. TheraCool advanced gel foam with graphite promotes comfort, combining pressure relieving and heat-wicking material. For support and durability, this utilizes performance foam to provide comfort for years to come.</t>
  </si>
  <si>
    <t>TW KESWICK</t>
  </si>
  <si>
    <t>TW GLASGOW</t>
  </si>
  <si>
    <t>TW IMPREZA</t>
  </si>
  <si>
    <t>Theracool advanced gel wicks away heat from the body, ensuring a cooler night's sleep. Therafoam encasement provides tremendous edge support for a smoother transition in and out of bed. Individual coils move independently to conform to the sleeper's position. Performance Plush transition layer adds extra support. Its sanitized finish continually inhibits the growth of odor-causing microbes and bacteria, keeping your mattress fresh.</t>
  </si>
  <si>
    <t>TW JENISON</t>
  </si>
  <si>
    <t>TW AURORA</t>
  </si>
  <si>
    <t>TW BRANSTON</t>
  </si>
  <si>
    <t>TW CARROLTON</t>
  </si>
  <si>
    <t>TW EVERDEEN</t>
  </si>
  <si>
    <t>TW FORESTER</t>
  </si>
  <si>
    <t>TW DARLINGTON</t>
  </si>
  <si>
    <t>TW BAHIA</t>
  </si>
  <si>
    <t>TW ALLANTON</t>
  </si>
  <si>
    <t>TW ESPLANADE</t>
  </si>
  <si>
    <t>TW OCEANA MIST</t>
  </si>
  <si>
    <t>TW BR HARMONY LUX MEDIUM</t>
  </si>
  <si>
    <t>TW WORLD CLASS LEVEL THREE PLUSH</t>
  </si>
  <si>
    <t>TW WORLD CLASS LEVEL THREE MED PT</t>
  </si>
  <si>
    <t>TW WORLD CLASS LEVEL FOUR PLUSH PT</t>
  </si>
  <si>
    <t>TW KERRY PARK</t>
  </si>
  <si>
    <t>TW BRADFORD HILL</t>
  </si>
  <si>
    <t>TW BRIERWOOD</t>
  </si>
  <si>
    <t>TW ORCHARDSIDE</t>
  </si>
  <si>
    <t>TW CASTLE ROCK</t>
  </si>
  <si>
    <t>TW PEBBLEBROOK</t>
  </si>
  <si>
    <t>TW PENNSBORO</t>
  </si>
  <si>
    <t>TW SONTERRA</t>
  </si>
  <si>
    <t>TW TEMPUR-KIDS</t>
  </si>
  <si>
    <t>Exclusively at Rooms To Go, the TEMPUR-Kids mattress provides a restorative sleep experience for growing bodies. At the mattress surface, an anti-microbial cover is treated to defend against dust mite dander and other allergens to promote a fresh, healthy sleep environment. Beneath the cover, exclusive TEMPUR-ES Material creates a soft feel that relaxes your child's body. The ORIGINAL TEMPUR Material support layer adapts to your child's unique shape, providing conforming comfort. The end result is a plush mattress with body conforming support, which promotes deep, rejuvenating, Tempur-Pedic sleep.</t>
  </si>
  <si>
    <t>TW STUDIO MEDIUM TT</t>
  </si>
  <si>
    <t>TW STUDIO MEDIUM PT</t>
  </si>
  <si>
    <t>AIR-X PERFORMANCE CRIB MATTRESS</t>
  </si>
  <si>
    <t>Dual</t>
  </si>
  <si>
    <t>TW Z-105</t>
  </si>
  <si>
    <t>SEALY KIDS</t>
  </si>
  <si>
    <t>TW Z-305</t>
  </si>
  <si>
    <t>Kid-friendly knitted fabric stretches in four directions, making the most of each comfort layer.  Gel-infused quilted foam is soft to the touch, cradles the body, and helps keep the sleep surface cool.  Active-Z's support layer offers medium firm upholstery foam, providing long lasting comfort throughout the mattress.   Advanced support system offers individually wrapped coils that adapt to body movements and provide targeted support where it's needed most. Solid edge system delivers superior performance, additional sleep surface, and overall mattress stability with edge-to-edge foam encasement.</t>
  </si>
  <si>
    <t>TW Z-505</t>
  </si>
  <si>
    <t>Kid-friendly knitted stretch fabric features cooling performance yarns engineered for a comfortable night's sleep.  Gel-infused quilted foam is soft to the touch, cradles the body, and helps keep the sleep surface cool.  Active-Z gel memory foam layer provides advanced air cushioning for additional temperature control.  Advanced support system offers individually wrapped coils that adapt to body movements and provide targeted support where it's needed most.  Solid edge system delivers superior performance, additional sleep surface, and overall mattress stability with edge-to-edge foam encasement.</t>
  </si>
  <si>
    <t>TW Z-705</t>
  </si>
  <si>
    <t>TW Z-905</t>
  </si>
  <si>
    <t>TW HELIX KIDS</t>
  </si>
  <si>
    <t>TW HELIX TWILIGHT</t>
  </si>
  <si>
    <t>TW HELIX MIDNIGHT LUXE</t>
  </si>
  <si>
    <t>TW HELIX MIDNIGHT ELITE</t>
  </si>
  <si>
    <t>TW HI PRO FOUNDATION</t>
  </si>
  <si>
    <t>CHOOSE YOUR FOUNDATION</t>
  </si>
  <si>
    <t>TW EASE 4.0</t>
  </si>
  <si>
    <t>Boasting all of the features of a power base, the Sealy Ease 4.0 adjustable base delivers custom comfort. Adjustable head and foot positions promote ergonomic alignment using a wireless remote. For enhanced relaxation, the zero gravity preset relieves pressure from your lower back to simulate a feeling of weightlessness. Easily set the base flat again with the touch of a button. Plus, tapered legs feature removable pieces to conveniently adjust the base height. Its light, thin profile offers a more seamless storage experience.</t>
  </si>
  <si>
    <t>TWIN BUNKIE BOARD</t>
  </si>
  <si>
    <t>TW ULTRA LO 3 FOUNDATION</t>
  </si>
  <si>
    <t>TW S&amp;F HI PRO FOUNDATION</t>
  </si>
  <si>
    <t>TWIN HI PRO FOUNDATION</t>
  </si>
  <si>
    <t>TW EZ-LIFT FOUNDATION</t>
  </si>
  <si>
    <t>FL CASPER CLOUD ONE</t>
  </si>
  <si>
    <t>Full</t>
  </si>
  <si>
    <t>FL CASPER ONE</t>
  </si>
  <si>
    <t>FL CASPER DREAM</t>
  </si>
  <si>
    <t>FL CASPER SNOW 2.0</t>
  </si>
  <si>
    <t>Casper signature cooling hybrid mattress. Specialty cool-to-the-touch fibers give an instantly refreshing feel. Phase Change Materialinstantly pulls heat away whileHeatDeleteT Bandswork all night to remove excess body heat to help yousleep 5 cooler all night long. Soothe Memory Foam conforms to the body and gently eases you into deep sleep. Zoned Support helps keep your spine in alignment with firmer foam under the hips, waist and lower back. Individually pocketed Flex Coils reduce motion transfer and boost support.</t>
  </si>
  <si>
    <t>FL CASPER SNOW MAX</t>
  </si>
  <si>
    <t>FL CASPER DREAM MAX</t>
  </si>
  <si>
    <t>FL CASPER ONYX 2.0</t>
  </si>
  <si>
    <t>FL SMART MATCH 2.0</t>
  </si>
  <si>
    <t>FL HESTRIDGE</t>
  </si>
  <si>
    <t>FL TURNBULL</t>
  </si>
  <si>
    <t>FL POOLE</t>
  </si>
  <si>
    <t>FL HAWKE</t>
  </si>
  <si>
    <t>FL GRENSON</t>
  </si>
  <si>
    <t>FL ADAPT MEDIUM</t>
  </si>
  <si>
    <t>FL ADAPT MEDIUM HYBRID</t>
  </si>
  <si>
    <t>FL PROADAPT FIRM</t>
  </si>
  <si>
    <t>FL PROADAPT MEDIUM</t>
  </si>
  <si>
    <t>FL PROADAPT SOFT</t>
  </si>
  <si>
    <t>FL PROADAPT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</si>
  <si>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comfort.Hybrid technology mixes premium innersprings with one-of-a-kind Tempur-Pedic materials to deliver the right combination of relief and support.</t>
  </si>
  <si>
    <t>FL T&amp;N TN3.1</t>
  </si>
  <si>
    <t>FL T&amp;N TN5.1</t>
  </si>
  <si>
    <t>FL T&amp;N TN7.1</t>
  </si>
  <si>
    <t>FL T&amp;N TN9.1</t>
  </si>
  <si>
    <t>FL T&amp;N KIDS GLEE</t>
  </si>
  <si>
    <t>FL T&amp;N TN1</t>
  </si>
  <si>
    <t>FL MOLECULE CORE</t>
  </si>
  <si>
    <t>FL BROAD PEAK</t>
  </si>
  <si>
    <t>FL SIMMONS KIDS DELIGHT</t>
  </si>
  <si>
    <t>FL SIMMONS KIDS GLAD</t>
  </si>
  <si>
    <t>FL SIMMONS KIDS HAPPY</t>
  </si>
  <si>
    <t>FL SIMMONS KIDS JOY</t>
  </si>
  <si>
    <t>FL BAY DREAMER</t>
  </si>
  <si>
    <t>FL MAKE WAVES</t>
  </si>
  <si>
    <t>FL SEASIDE SERENITY</t>
  </si>
  <si>
    <t>FL ALDER</t>
  </si>
  <si>
    <t>FL BALDWIN</t>
  </si>
  <si>
    <t>FL CREEKMORE</t>
  </si>
  <si>
    <t>FL FLOURISH</t>
  </si>
  <si>
    <t>FL ELARA</t>
  </si>
  <si>
    <t>FL HAMEL</t>
  </si>
  <si>
    <t>FL KESWICK</t>
  </si>
  <si>
    <t>FL GLASGOW</t>
  </si>
  <si>
    <t>FL IMPREZA</t>
  </si>
  <si>
    <t>FL JENISON</t>
  </si>
  <si>
    <t>FL AURORA</t>
  </si>
  <si>
    <t>FL BRANSTON</t>
  </si>
  <si>
    <t>FL CARROLTON</t>
  </si>
  <si>
    <t>FL EVERDEEN</t>
  </si>
  <si>
    <t>FL FORESTER</t>
  </si>
  <si>
    <t>FL DARLINGTON</t>
  </si>
  <si>
    <t>FL BAHIA</t>
  </si>
  <si>
    <t>FL ALLANTON</t>
  </si>
  <si>
    <t>FL ESPLANADE</t>
  </si>
  <si>
    <t>FL OCEANA MIST</t>
  </si>
  <si>
    <t>FL BR HARMONY LUX MEDIUM</t>
  </si>
  <si>
    <t>FL WORLD CLASS LEVEL THREE PLUSH</t>
  </si>
  <si>
    <t>FL WORLD CLASS LEVEL THREE MED PT</t>
  </si>
  <si>
    <t>FL WORLD CLASS LEVEL FOUR PLUSH PT</t>
  </si>
  <si>
    <t>FL KERRY PARK</t>
  </si>
  <si>
    <t>FL BRADFORD HILL</t>
  </si>
  <si>
    <t>FL BRIERWOOD</t>
  </si>
  <si>
    <t>FL ORCHARDSIDE</t>
  </si>
  <si>
    <t>FL CASTLE ROCK</t>
  </si>
  <si>
    <t>FL PEBBLEBROOK</t>
  </si>
  <si>
    <t>FL PENNSBORO</t>
  </si>
  <si>
    <t>FL SONTERRA</t>
  </si>
  <si>
    <t>FL ALBANY II</t>
  </si>
  <si>
    <t>FL TEMPUR-KIDS</t>
  </si>
  <si>
    <t>FL SERIES ONE EXTRA FIRM</t>
  </si>
  <si>
    <t>FL SERIES ONE MEDIUM</t>
  </si>
  <si>
    <t>FL SERIES ONE PLUSH</t>
  </si>
  <si>
    <t>FL SERIES ONE FIRM PILLOW TOP</t>
  </si>
  <si>
    <t>FL SERIES ONE MEDIUM PILLOW TOP</t>
  </si>
  <si>
    <t>FL SERIES ONE PLUSH PILLOW TOP</t>
  </si>
  <si>
    <t>FL SERIES TWO FIRM</t>
  </si>
  <si>
    <t>FL SERIES TWO MEDIUM TT</t>
  </si>
  <si>
    <t>Experience extraordinary sleep at the intersection of luxury and innovation with the Beautyrest Black Collection's premier materials and advanced sleep features.  Triple-Stranded Pocketed Coil Technology offers our highest level of individualized support and motion separation, so you can rest undisturbed.  Specialized vertical fibers combine with an applied surface-cooling technology to help transfer heat away from the body all night.  A supportive foam layer quilted into the sleep surface unlocks advanced pressure relief.  Micro Diamond Memory Foam, infused with diamond particles, helps move heat away from the body for a cool sleep.  A unique, channeled design promotes airflow for cool, enhanced pressure relief.  All foams are CertiPUR-US certified.  Our mattresses are proudly assembled in the USA.  Adjustable base friendly - helps reduce snoring and enhance comfort.</t>
  </si>
  <si>
    <t>FL SERIES TWO PLUSH</t>
  </si>
  <si>
    <t>FL SERIES TWO MED PILLOW TOP</t>
  </si>
  <si>
    <t>FL SERIES TWO PLUSH PILLOW TOP</t>
  </si>
  <si>
    <t>FL SERIES THREE FIRM</t>
  </si>
  <si>
    <t>FL SERIES THREE MEDIUM</t>
  </si>
  <si>
    <t>FL SERIES THREE FIRM PILLOW TOP</t>
  </si>
  <si>
    <t>FL SERIES THREE MEDIUM PILLOW TOP</t>
  </si>
  <si>
    <t>FL SERIES THREE PLUSH PT</t>
  </si>
  <si>
    <t>FL SERIES FOUR FIRM PILLOW TOP</t>
  </si>
  <si>
    <t>FL SERIES FOUR MEDIUM PILLOW TOP</t>
  </si>
  <si>
    <t>FL SERIES FOUR PLUSH SUMMIT PILLOW TOP</t>
  </si>
  <si>
    <t>FL SERIES ONE FIRM HYBRID</t>
  </si>
  <si>
    <t>FL SERIES ONE MEDIUM HYBRID</t>
  </si>
  <si>
    <t>FL SERIES TWO MEDIUM APEX HYBRID</t>
  </si>
  <si>
    <t>FL SERIES THREE FIRM HYBRID</t>
  </si>
  <si>
    <t>FL SERIES THREE PLUSH HYBRID</t>
  </si>
  <si>
    <t>FL SERIES THREE MEDIUM HYBRID</t>
  </si>
  <si>
    <t>FL SERIES FOUR PLUSH APEX TOP HYBRID</t>
  </si>
  <si>
    <t>FL ESTATE MEDIUM TT</t>
  </si>
  <si>
    <t>FL STUDIO MEDIUM TT</t>
  </si>
  <si>
    <t>FL STUDIO MEDIUM PT</t>
  </si>
  <si>
    <t>FL ESTATE EXTRA FIRM TT</t>
  </si>
  <si>
    <t>FL ESTATE FIRM TT</t>
  </si>
  <si>
    <t>FL ESTATE SOFT TT</t>
  </si>
  <si>
    <t>FL ESTATE FIRM PT</t>
  </si>
  <si>
    <t>FL ESTATE SOFT PT</t>
  </si>
  <si>
    <t>FL Z-105</t>
  </si>
  <si>
    <t>FL Z-305</t>
  </si>
  <si>
    <t>FL Z-505</t>
  </si>
  <si>
    <t>Kid-friendly knitted stretch fabric features cooling performance yarns engineered for a comfortable night's sleep. Gel-infused quilted foam is soft to the touch, cradles the body, and helps keep the sleep surface cool.  Active-Z gel memory foam layer provides advanced air cushioning for additional temperature control.  Advanced support system offers individually wrapped coils that adapt to body movements and provide targeted support where it's needed most. Solid edge system delivers superior performance, additional sleep surface, and overall mattress stability with edge-to-edge foam encasement.</t>
  </si>
  <si>
    <t>FL Z-705</t>
  </si>
  <si>
    <t>FL Z-905</t>
  </si>
  <si>
    <t>FL HELIX KIDS</t>
  </si>
  <si>
    <t>FL HELIX TWILIGHT</t>
  </si>
  <si>
    <t>FL HELIX MIDNIGHT LUXE</t>
  </si>
  <si>
    <t>FL HELIX MIDNIGHT ELITE</t>
  </si>
  <si>
    <t>FL BASELOGIC SILVER</t>
  </si>
  <si>
    <t>SIMMONS</t>
  </si>
  <si>
    <t>The Beautyrest Baselogic Silver adjustable base delivers head and foot adjustability with a wireless remote. Zero-gravity button for instant relief of pressure points. 1-touch flat button for an easy reset to the default position. 3-in-1 adjustable legs with leg heights up to 12. Zero-clearance profile for compatibility with most bedframes.</t>
  </si>
  <si>
    <t>FL BASELOGIC PLATINUM</t>
  </si>
  <si>
    <t>The Beautyrest Baselogic Platinum adjustable base delivers head and foot adjustability with a wireless LCD remote and enhanced lifestyle upgrades. Dual massage feature with relaxing vibration. Integrated white, pink and brown noise machine for relaxing sound therapy. Multiple levels of ambient underbed lighting. USB A &amp; C charging ports. Anti-snoring preset. Memory preset for easy repositioning. Automatic pillow tilt. Zero-gravity button for instant relief of pressure points. 1-touch flat button for quick reset to the default position. 4-in-1 adjustable legs with four leg heights up to 12. Zero-clearance profile for compatibility with most bedframes.</t>
  </si>
  <si>
    <t>FL HI PRO FOUNDATION</t>
  </si>
  <si>
    <t>FL TEMPUR-ERGO 3.0</t>
  </si>
  <si>
    <t>The redesigned TEMPUR-Ergo Power Base is better than ever. Offers adjustable support in the lumbar region along with three different massage settings. Unlimited range of head and foot positions relieve pressure while sitting, reading, working or watching TV. Zero gravity preset provides a simulated weightless experience by simultaneously elevating your head and feet. The TEMPUR-Ergo Power Base paired with a Tempur-Pedic mattress helps to ease aches &amp; pains, helping you fall asleep and stay asleep - every night.</t>
  </si>
  <si>
    <t>FL TEMPUR-ERGO SMART</t>
  </si>
  <si>
    <t>The new and improved TEMPUR-Ergo Smart Base is specially designed to improve your sleep quality over time. Sleeptracker-AI gives you personalized sleep coaching with insights and expert-level analytics through the easy-to-use app. Automatic Snore Response raises your head once approximately 12 degrees to help reduce snoring in otherwise healthy individuals who snore due to body positioning. An additional component can raise up to six inches to provide extra support in the lumbar area for extra comfort while you're sitting or lying flat. Zero gravity preset takes the pressure off your back while you sleep by simultaneously elevating your head and feet, creating a weightless experience and comfortable sleep night after night.</t>
  </si>
  <si>
    <t>FL EASE 4.0</t>
  </si>
  <si>
    <t>SEALY</t>
  </si>
  <si>
    <t>FULL BUNKIE BOARD</t>
  </si>
  <si>
    <t>FL ULTRA LO 3 FOUNDATION</t>
  </si>
  <si>
    <t>FL BR BLK HI PRO FOUNDATION</t>
  </si>
  <si>
    <t>FL S&amp;F HI PRO FOUNDATION</t>
  </si>
  <si>
    <t>FULL HI PRO FOUNDATION</t>
  </si>
  <si>
    <t>FL EZ-LIFT FOUNDATION</t>
  </si>
  <si>
    <t>QN CASPER CLOUD ONE</t>
  </si>
  <si>
    <t>Queen</t>
  </si>
  <si>
    <t>QN CASPER ONE</t>
  </si>
  <si>
    <t>QN CASPER DREAM</t>
  </si>
  <si>
    <t>QN CASPER SNOW 2.0</t>
  </si>
  <si>
    <t>QN CASPER SNOW MAX</t>
  </si>
  <si>
    <t>QN CASPER DREAM MAX</t>
  </si>
  <si>
    <t>QN CASPER ONYX 2.0</t>
  </si>
  <si>
    <t>QN SMART MATCH 2.0</t>
  </si>
  <si>
    <t>QN HESTRIDGE</t>
  </si>
  <si>
    <t>QN ADAPT MEDIUM</t>
  </si>
  <si>
    <t>QN ADAPT MEDIUM HYBRID</t>
  </si>
  <si>
    <t>QN PROADAPT FIRM</t>
  </si>
  <si>
    <t>QN PROBREEZE MEDIUM</t>
  </si>
  <si>
    <t>QN PROBREEZE MED HYBRID</t>
  </si>
  <si>
    <t>QN PROADAPT MEDIUM</t>
  </si>
  <si>
    <t>QN PROADAPT SOFT</t>
  </si>
  <si>
    <t>QN PROADAPT MEDIUM HYBRID</t>
  </si>
  <si>
    <t>QN LUXEADAPT SOFT</t>
  </si>
  <si>
    <t>QN LUXEADAPT FIRM</t>
  </si>
  <si>
    <t>QN LUXEADAPT MEDIUM HYBRID</t>
  </si>
  <si>
    <t>QN ACTIVE BREEZE MEDIUM HYBRID</t>
  </si>
  <si>
    <t>QN LUXEBREEZE MED HYB</t>
  </si>
  <si>
    <t>QN LUXEBREEZE SOFT</t>
  </si>
  <si>
    <t>QN LUXEBREEZE FIRM</t>
  </si>
  <si>
    <t>QN T&amp;N TN3.1</t>
  </si>
  <si>
    <t>QN T&amp;N TN5.1</t>
  </si>
  <si>
    <t>QN T&amp;N TN7.1</t>
  </si>
  <si>
    <t>QN T&amp;N TN9.1</t>
  </si>
  <si>
    <t>QN T&amp;N TN1</t>
  </si>
  <si>
    <t>QN MOLECULE CORE</t>
  </si>
  <si>
    <t>The Molecule Core mattress is designed to maximize support, comfort and temperature regulation for the best recovery-focused sleep. Precision-contoured 3D RecoveryFLO dynamic response layer delivers self-adapting support for pressure relief in key targeted areas. RestoreFLO gel infused open cell memory foam delivers three times the airflow of traditional memory foam while managing heat and providing long-lasting durability and comfort. Durable ContourFLO base layer provides reliable support and optimal spinal alignment. Advanced MOLECULEshield antimicrobial cool cover responds to temperature changes throughout the night, harnessing moisture wicking technologies to maintain a cool surface.</t>
  </si>
  <si>
    <t>QN BROAD PEAK</t>
  </si>
  <si>
    <t>QN BAY DREAMER</t>
  </si>
  <si>
    <t>QN MAKE WAVES</t>
  </si>
  <si>
    <t>QN SEASIDE SERENITY</t>
  </si>
  <si>
    <t>QN BALDWIN</t>
  </si>
  <si>
    <t>QN IMPREZA</t>
  </si>
  <si>
    <t>QN AURORA</t>
  </si>
  <si>
    <t>QN BRANSTON</t>
  </si>
  <si>
    <t>QN CARROLTON</t>
  </si>
  <si>
    <t>QN EVERDEEN</t>
  </si>
  <si>
    <t>QN FORESTER</t>
  </si>
  <si>
    <t>QN GLASSBORO</t>
  </si>
  <si>
    <t>QN DARLINGTON</t>
  </si>
  <si>
    <t>QN BAHIA</t>
  </si>
  <si>
    <t>QN HASTINGS</t>
  </si>
  <si>
    <t>QN JAMAICA</t>
  </si>
  <si>
    <t>QN KAANAPALI</t>
  </si>
  <si>
    <t>QN LEDO</t>
  </si>
  <si>
    <t>QN ALLANTON</t>
  </si>
  <si>
    <t>QN ADVANCED MEDIUM</t>
  </si>
  <si>
    <t>QN ADVANCED PLUSH PILLOW TOP</t>
  </si>
  <si>
    <t>QN ESPLANADE</t>
  </si>
  <si>
    <t>QN CAPERTEE</t>
  </si>
  <si>
    <t>QN RUBY RANCH</t>
  </si>
  <si>
    <t>QN WESTWATER</t>
  </si>
  <si>
    <t>QN ARADA CANYON</t>
  </si>
  <si>
    <t>QN OCEANA MIST</t>
  </si>
  <si>
    <t>QN BR HARMONY LUX MEDIUM</t>
  </si>
  <si>
    <t>QN WORLD CLASS LEVEL THREE PLUSH</t>
  </si>
  <si>
    <t>QN WORLD CLASS LEVEL THREE MED PT</t>
  </si>
  <si>
    <t>QN WORLD CLASS LEVEL FOUR PLUSH PT</t>
  </si>
  <si>
    <t>QN KERRY PARK</t>
  </si>
  <si>
    <t>QN BRADFORD HILL</t>
  </si>
  <si>
    <t>QN NORTHGATE</t>
  </si>
  <si>
    <t>QN BRIERWOOD</t>
  </si>
  <si>
    <t>QN ORCHARDSIDE</t>
  </si>
  <si>
    <t>QN CASTLE ROCK</t>
  </si>
  <si>
    <t>QN PEBBLEBROOK</t>
  </si>
  <si>
    <t>QN PENNSBORO</t>
  </si>
  <si>
    <t>QN SONTERRA</t>
  </si>
  <si>
    <t>QN ALBANY II</t>
  </si>
  <si>
    <t>QN SERIES ONE EXTRA FIRM</t>
  </si>
  <si>
    <t>QN SERIES ONE MEDIUM</t>
  </si>
  <si>
    <t>QN SERIES ONE PLUSH</t>
  </si>
  <si>
    <t>QN SERIES ONE FIRM PILLOW TOP</t>
  </si>
  <si>
    <t>QN SERIES ONE MEDIUM PILLOW TOP</t>
  </si>
  <si>
    <t>QN SERIES ONE PLUSH PILLOW TOP</t>
  </si>
  <si>
    <t>QN SERIES TWO FIRM</t>
  </si>
  <si>
    <t>QN SERIES TWO MEDIUM TT</t>
  </si>
  <si>
    <t>QN SERIES TWO PLUSH</t>
  </si>
  <si>
    <t>QN SERIES TWO MED PILLOW TOP</t>
  </si>
  <si>
    <t>QN SERIES TWO PLUSH PILLOW TOP</t>
  </si>
  <si>
    <t>QN SERIES THREE FIRM</t>
  </si>
  <si>
    <t>QN SERIES THREE MEDIUM</t>
  </si>
  <si>
    <t>QN SERIES THREE FIRM PILLOW TOP</t>
  </si>
  <si>
    <t>QN SERIES THREE MEDIUM PILLOW TOP</t>
  </si>
  <si>
    <t>QN SERIES THREE PLUSH PT</t>
  </si>
  <si>
    <t>QN SERIES FOUR FIRM PILLOW TOP</t>
  </si>
  <si>
    <t>QN SERIES FOUR MEDIUM PILLOW TOP</t>
  </si>
  <si>
    <t>QN SERIES FOUR PLUSH SUMMIT PILLOW TOP</t>
  </si>
  <si>
    <t>QN SERIES ONE FIRM HYBRID</t>
  </si>
  <si>
    <t>QN SERIES ONE MEDIUM HYBRID</t>
  </si>
  <si>
    <t>QN SERIES TWO PLUSH HYBRID</t>
  </si>
  <si>
    <t>QN SERIES TWO MEDIUM APEX HYBRID</t>
  </si>
  <si>
    <t>QN SERIES THREE FIRM HYBRID</t>
  </si>
  <si>
    <t>QN SERIES THREE PLUSH HYBRID</t>
  </si>
  <si>
    <t>QN SERIES THREE MEDIUM HYBRID</t>
  </si>
  <si>
    <t>QN SERIES FOUR PLUSH APEX TOP HYBRID</t>
  </si>
  <si>
    <t>QN ESTATE MEDIUM TT</t>
  </si>
  <si>
    <t>QN STUDIO MEDIUM TT</t>
  </si>
  <si>
    <t>QN STUDIO MEDIUM PT</t>
  </si>
  <si>
    <t>QN ESTATE EXTRA FIRM TT</t>
  </si>
  <si>
    <t>QN ESTATE FIRM TT</t>
  </si>
  <si>
    <t>QN ESTATE SOFT TT</t>
  </si>
  <si>
    <t>QN ESTATE FIRM PT</t>
  </si>
  <si>
    <t>QN ESTATE SOFT PT</t>
  </si>
  <si>
    <t>QN LUX ESTATE EXTRA FIRM TT</t>
  </si>
  <si>
    <t>QN LUX ESTATE MEDIUM TT</t>
  </si>
  <si>
    <t>QN LUX ESTATE FIRM PT</t>
  </si>
  <si>
    <t>QN LUX ESTATE MEDIUM PT</t>
  </si>
  <si>
    <t>QN LUX HYBRID SOFT</t>
  </si>
  <si>
    <t>QN RESERVE MEDIUM TT</t>
  </si>
  <si>
    <t>QN RESERVE FIRM PT</t>
  </si>
  <si>
    <t>QN RESERVE SOFT PT</t>
  </si>
  <si>
    <t>QN RESERVE DUET</t>
  </si>
  <si>
    <t>QN LUX ESTATE ELITE MEDIUM PT</t>
  </si>
  <si>
    <t>The soft, sustainably sourced TENCEL cover creates a cool and comfortable sleep surface with enhanced cooling fibers. TEMPUR-Indulge Memory Foam comfort layers, developed by the sleep experts at Tempur-Pedic, conform to the body to deliver all-night comfort and pressure relief.  The Pillowtop Support Layer features microcoils just below the pillowtop to provide added durability for maintaining overall comfort. Supportive latex comfort layers provide a perfect combination of pressure relief, durability, and a uniquely weightless, yet supported feel. IntelliCoil innersprings are uniquely designed to respond to varying types of pressure, providing the perfect balance of pressure relief and support.</t>
  </si>
  <si>
    <t>QN LUX HYBRID ELITE MEDIUM</t>
  </si>
  <si>
    <t>QN HELIX TWILIGHT</t>
  </si>
  <si>
    <t>QN HELIX MIDNIGHT LUXE</t>
  </si>
  <si>
    <t>QN HELIX MIDNIGHT ELITE</t>
  </si>
  <si>
    <t>QN BASELOGIC SILVER</t>
  </si>
  <si>
    <t>QN BASELOGIC PLATINUM</t>
  </si>
  <si>
    <t>QN HI PRO FOUNDATION</t>
  </si>
  <si>
    <t>QN TEMPUR-ERGO 3.0</t>
  </si>
  <si>
    <t>QN TEMPUR-ERGO SMART</t>
  </si>
  <si>
    <t>QN TEMPUR-ERGO PROSMART</t>
  </si>
  <si>
    <t>The all-new TEMPUR-Ergo ProSmart Base, powered by Sleeptracker-AI, delivers an innovative sleep solution for snoring as well as enhanced relaxation. Automatic Snore Response can detect and respond to snoring once by raising your head approximately 12 degrees to help reduce snoring in otherwise healthy individuals who snore due to body positioning. SoundScape Mode is an immersive experience that allows you to hear and feel sound through the mattress by connecting a Bluetooth device. Wind Down preset program helps you calmly and comfortably drift off to sleep by cycling through different base positions and soothing massage types. Wave Form Massage eases muscle tension by using sound waves to transmit vibrations throughout the mattress, promoting relaxation for the mind and body.</t>
  </si>
  <si>
    <t>QN TEMPUR PROSMART AIR</t>
  </si>
  <si>
    <t>QN RTG-SLEEP 2900</t>
  </si>
  <si>
    <t>LEGGETT &amp; PLATT</t>
  </si>
  <si>
    <t>.Head-up only adjustable base..Wireless remote plus Bluetooth app that connects to your Android of iOS device to control base functions..Height adjustable legs and a zero-clearance design for compatibility with most beds..Supports a large lifting capacity up to 850 lbs.</t>
  </si>
  <si>
    <t>QN RTG-SLEEP 3900</t>
  </si>
  <si>
    <t>QN RTG-SLEEP 5900</t>
  </si>
  <si>
    <t>MOTO MOTION</t>
  </si>
  <si>
    <t>QN EASE 4.0</t>
  </si>
  <si>
    <t>QUEEN BUNKIE BOARD</t>
  </si>
  <si>
    <t>QN ULTRA LO 3 FOUNDATION</t>
  </si>
  <si>
    <t>QN BR BLK HI PRO FOUNDATION</t>
  </si>
  <si>
    <t>QN S&amp;F HI PRO FOUNDATION</t>
  </si>
  <si>
    <t>QUEEN HIGH PRO FOUNDATION</t>
  </si>
  <si>
    <t>KG CASPER CLOUD ONE</t>
  </si>
  <si>
    <t>King</t>
  </si>
  <si>
    <t>KG CASPER ONE</t>
  </si>
  <si>
    <t>KG CASPER DREAM</t>
  </si>
  <si>
    <t>KG CASPER SNOW 2.0</t>
  </si>
  <si>
    <t>KG CASPER SNOW MAX</t>
  </si>
  <si>
    <t>KG CASPER DREAM MAX</t>
  </si>
  <si>
    <t>KG CASPER ONYX 2.0</t>
  </si>
  <si>
    <t>KG SMART MATCH 2.0</t>
  </si>
  <si>
    <t>KG HESTRIDGE</t>
  </si>
  <si>
    <t>KG ADAPT MEDIUM</t>
  </si>
  <si>
    <t>KG ADAPT MEDIUM HYBRID</t>
  </si>
  <si>
    <t>KG PROADAPT FIRM</t>
  </si>
  <si>
    <t>KG PROBREEZE MEDIUM</t>
  </si>
  <si>
    <t>KG PROBREEZE MED HYBRID</t>
  </si>
  <si>
    <t>KG PROADAPT MEDIUM</t>
  </si>
  <si>
    <t>KG PROADAPT SOFT</t>
  </si>
  <si>
    <t>KG PROADAPT MEDIUM HYBRID</t>
  </si>
  <si>
    <t>KG LUXEADAPT SOFT</t>
  </si>
  <si>
    <t>KG LUXEADAPT FIRM</t>
  </si>
  <si>
    <t>KG LUXEADAPT MEDIUM HYBRID</t>
  </si>
  <si>
    <t>KG ACTIVE BREEZE MEDIUM HYBRID</t>
  </si>
  <si>
    <t>KG LUXEBREEZE MED HYB</t>
  </si>
  <si>
    <t>KG LUXEBREEZE SOFT</t>
  </si>
  <si>
    <t>KG LUXEBREEZE FIRM</t>
  </si>
  <si>
    <t>KG T&amp;N TN3.1</t>
  </si>
  <si>
    <t>KG T&amp;N TN5.1</t>
  </si>
  <si>
    <t>KG T&amp;N TN7.1</t>
  </si>
  <si>
    <t>KG T&amp;N TN9.1</t>
  </si>
  <si>
    <t>KG T&amp;N TN1</t>
  </si>
  <si>
    <t>KG MOLECULE CORE</t>
  </si>
  <si>
    <t>KG BROAD PEAK</t>
  </si>
  <si>
    <t>KG AURORA</t>
  </si>
  <si>
    <t>KG BRANSTON</t>
  </si>
  <si>
    <t>KG CARROLTON</t>
  </si>
  <si>
    <t>KG EVERDEEN</t>
  </si>
  <si>
    <t>KG FORESTER</t>
  </si>
  <si>
    <t>KG GLASSBORO</t>
  </si>
  <si>
    <t>KG DARLINGTON</t>
  </si>
  <si>
    <t>KG BAHIA</t>
  </si>
  <si>
    <t>KG HASTINGS</t>
  </si>
  <si>
    <t>KG JAMAICA</t>
  </si>
  <si>
    <t>KG KAANAPALI</t>
  </si>
  <si>
    <t>KG LEDO</t>
  </si>
  <si>
    <t>KG TOPAZ</t>
  </si>
  <si>
    <t>KG ALLANTON</t>
  </si>
  <si>
    <t>KG ADVANCED MEDIUM</t>
  </si>
  <si>
    <t>KG ADVANCED PLUSH PILLOW TOP</t>
  </si>
  <si>
    <t>KG ESPLANADE</t>
  </si>
  <si>
    <t>KG CAPERTEE</t>
  </si>
  <si>
    <t>KG RUBY RANCH</t>
  </si>
  <si>
    <t>KG WESTWATER</t>
  </si>
  <si>
    <t>KG ARADA CANYON</t>
  </si>
  <si>
    <t>KG OCEANA MIST</t>
  </si>
  <si>
    <t>KG BR HARMONY LUX MEDIUM</t>
  </si>
  <si>
    <t>KG WORLD CLASS LEVEL THREE PLUSH</t>
  </si>
  <si>
    <t>KG WORLD CLASS LEVEL THREE MED PT</t>
  </si>
  <si>
    <t>KG WORLD CLASS LEVEL FOUR PLUSH PT</t>
  </si>
  <si>
    <t>KG KERRY PARK</t>
  </si>
  <si>
    <t>KG BRADFORD HILL</t>
  </si>
  <si>
    <t>KG NORTHGATE</t>
  </si>
  <si>
    <t>KG BRIERWOOD</t>
  </si>
  <si>
    <t>KG ORCHARDSIDE</t>
  </si>
  <si>
    <t>KG CASTLE ROCK</t>
  </si>
  <si>
    <t>KG PEBBLEBROOK</t>
  </si>
  <si>
    <t>KG PENNSBORO</t>
  </si>
  <si>
    <t>KG SONTERRA</t>
  </si>
  <si>
    <t>KG ALBANY II</t>
  </si>
  <si>
    <t>KG SERIES ONE EXTRA FIRM</t>
  </si>
  <si>
    <t>KG SERIES ONE MEDIUM</t>
  </si>
  <si>
    <t>KG SERIES ONE FIRM PILLOW TOP</t>
  </si>
  <si>
    <t>KG SERIES ONE MEDIUM PILLOW TOP</t>
  </si>
  <si>
    <t>KG SERIES ONE PLUSH PILLOW TOP</t>
  </si>
  <si>
    <t>KG SERIES TWO FIRM</t>
  </si>
  <si>
    <t>KG SERIES TWO MEDIUM TT</t>
  </si>
  <si>
    <t>KG SERIES TWO PLUSH</t>
  </si>
  <si>
    <t>KG SERIES TWO MED PILLOW TOP</t>
  </si>
  <si>
    <t>KG SERIES TWO PLUSH PILLOW TOP</t>
  </si>
  <si>
    <t>KG SERIES THREE EXTRA FIRM</t>
  </si>
  <si>
    <t>KG SERIES THREE FIRM</t>
  </si>
  <si>
    <t>KG SERIES THREE MEDIUM</t>
  </si>
  <si>
    <t>KG SERIES THREE FIRM PILLOW TOP</t>
  </si>
  <si>
    <t>KG SERIES THREE MEDIUM PILLOW TOP</t>
  </si>
  <si>
    <t>KG SERIES THREE PLUSH PT</t>
  </si>
  <si>
    <t>KG SERIES FOUR FIRM PILLOW TOP</t>
  </si>
  <si>
    <t>KG SERIES FOUR MEDIUM PILLOW TOP</t>
  </si>
  <si>
    <t>KG SERIES FOUR PLUSH SUMMIT PILLOW TOP</t>
  </si>
  <si>
    <t>KG SERIES ONE FIRM HYBRID</t>
  </si>
  <si>
    <t>KG SERIES ONE MEDIUM HYBRID</t>
  </si>
  <si>
    <t>KG SERIES TWO PLUSH HYBRID</t>
  </si>
  <si>
    <t>KG SERIES TWO MEDIUM APEX HYBRID</t>
  </si>
  <si>
    <t>KG SERIES THREE FIRM HYBRID</t>
  </si>
  <si>
    <t>KG SERIES THREE PLUSH HYBRID</t>
  </si>
  <si>
    <t>KG SERIES THREE MEDIUM HYBRID</t>
  </si>
  <si>
    <t>KG SERIES FOUR PLUSH APEX TOP HYBRID</t>
  </si>
  <si>
    <t>KG ESTATE MEDIUM TT</t>
  </si>
  <si>
    <t>KG STUDIO MEDIUM TT</t>
  </si>
  <si>
    <t>KG STUDIO MEDIUM PT</t>
  </si>
  <si>
    <t>KG ESTATE EXTRA FIRM TT</t>
  </si>
  <si>
    <t>KG ESTATE FIRM TT</t>
  </si>
  <si>
    <t>KG ESTATE SOFT TT</t>
  </si>
  <si>
    <t>KG ESTATE FIRM PT</t>
  </si>
  <si>
    <t>KG ESTATE SOFT PT</t>
  </si>
  <si>
    <t>KG LUX ESTATE EXTRA FIRM TT</t>
  </si>
  <si>
    <t>KG LUX ESTATE MEDIUM TT</t>
  </si>
  <si>
    <t>KG LUX ESTATE FIRM PT</t>
  </si>
  <si>
    <t>KG LUX ESTATE SOFT PT</t>
  </si>
  <si>
    <t>KG LUX ESTATE MEDIUM PT</t>
  </si>
  <si>
    <t>KG LUX HYBRID SOFT</t>
  </si>
  <si>
    <t>KG RESERVE MEDIUM TT</t>
  </si>
  <si>
    <t>KG RESERVE FIRM PT</t>
  </si>
  <si>
    <t>KG RESERVE SOFT PT</t>
  </si>
  <si>
    <t>KG RESERVE DUET</t>
  </si>
  <si>
    <t>KG LUX ESTATE ELITE MEDIUM PT</t>
  </si>
  <si>
    <t>KG LUX HYBRID ELITE MEDIUM</t>
  </si>
  <si>
    <t>KG HELIX TWILIGHT</t>
  </si>
  <si>
    <t>KG HELIX MIDNIGHT LUXE</t>
  </si>
  <si>
    <t>KG HELIX MIDNIGHT ELITE</t>
  </si>
  <si>
    <t>TWX BASELOGIC SILVER</t>
  </si>
  <si>
    <t>TWX BASELOGIC PLATINUM</t>
  </si>
  <si>
    <t>TWXL HI PRO FOUNDATION</t>
  </si>
  <si>
    <t>TWX HI PRO FOUNDATION</t>
  </si>
  <si>
    <t>TWXL TEMPUR-ERGO 3.0</t>
  </si>
  <si>
    <t>TWXL TEMPUR-ERGO SMART</t>
  </si>
  <si>
    <t>TWXL TEMPUR-ERGO PROSMART</t>
  </si>
  <si>
    <t>TWIN XL TEMPUR PROSMART AIR</t>
  </si>
  <si>
    <t>TWXL RTG-SLEEP 2900</t>
  </si>
  <si>
    <t>.Head-up only adjustable base..Wireless remote plus Bluetooth app that connects to your Android or iOS device to control base functions..Height adjustable legs and a zero-clearance design for compatibility with most beds..Supports a large lifting capacity up to 850 lbs.</t>
  </si>
  <si>
    <t>TWXL RTG-SLEEP 3900</t>
  </si>
  <si>
    <t>TWXL RTG-SLEEP 5900</t>
  </si>
  <si>
    <t>TWX EASE 4.0</t>
  </si>
  <si>
    <t>TWXL BUNKIE BOARD</t>
  </si>
  <si>
    <t>TWXL ULTRA LO 3 FOUNDATION</t>
  </si>
  <si>
    <t>TWXL BR BLK HI PRO FOUNDATION</t>
  </si>
  <si>
    <t>TWXL S&amp;F HI PRO FOUNDATION</t>
  </si>
  <si>
    <t>TWXL HIGH PRO FOUNDATION</t>
  </si>
  <si>
    <t>TWXL EZ-LIFT FOUNDATION</t>
  </si>
  <si>
    <t>QN 3 FOUNDATION</t>
  </si>
  <si>
    <t>QN LO PRO FOUNDATION</t>
  </si>
  <si>
    <t>QN BR BLK LO PRO FOUNDATION</t>
  </si>
  <si>
    <t>QN S&amp;F LO PRO FOUNDATION</t>
  </si>
  <si>
    <t>QUEEN LO PRO FOUNDATION</t>
  </si>
  <si>
    <t>KG BASELOGIC SILVER</t>
  </si>
  <si>
    <t>KG BASELOGIC PLATINUM</t>
  </si>
  <si>
    <t>TWX LO PRO FOUNDATION</t>
  </si>
  <si>
    <t>KG TEMPUR-ERGO 3.0</t>
  </si>
  <si>
    <t>KG TEMPUR-ERGO SMART</t>
  </si>
  <si>
    <t>KG TEMPUR-ERGO PROSMART</t>
  </si>
  <si>
    <t>KG RTG-SLEEP 2900</t>
  </si>
  <si>
    <t>KG RTG-SLEEP 3900</t>
  </si>
  <si>
    <t>KG RTG-SLEEP 5900</t>
  </si>
  <si>
    <t>TWX IPROTECT PROTECTOR</t>
  </si>
  <si>
    <t>Essential for comfortable sleep, the BEDGEAR iProtect mattress protector offers a layer of defense for you and your bed. Machine washable, its noiseless waterproof barrier shields your mattress from stains. It also protects against dust and other allergens to create a clean, healthy sleep environment. The lightweight, brushed fiber surface keeps your mattress dry throughout the night. iProtect's sidewall skirt smoothly and securely fits mattresses from eight to 18 inches in height.</t>
  </si>
  <si>
    <t>TW IPROTECT PROTECTOR</t>
  </si>
  <si>
    <t>FL IPROTECT PROTECTOR</t>
  </si>
  <si>
    <t>QN IPROTECT PROTECTOR</t>
  </si>
  <si>
    <t>KG IPROTECT PROTECTOR</t>
  </si>
  <si>
    <t>CAL KG IPROTECT PROTECTOR</t>
  </si>
  <si>
    <t>California King</t>
  </si>
  <si>
    <t>IPROTECT CRIB PROTECTOR</t>
  </si>
  <si>
    <t>Essential for comfortable, healthy sleep, the BEDGEAR iProtect crib mattress protector offers a soft and flexible waterproof layer of defense for both your baby and their bed. Machine washable, its noiseless, spill-resistant barrier shields their mattress from stains, and the lightweight, brushed fiber surface keeps their mattress dry throughout the night. It also protects against dust and other allergens to create a clean sleep environment.  iProtect's stretch sidewall skirt with Powerband makes it easy to put on your crib mattress, and it smoothly and securely grips the mattress, with no bunching underneath.</t>
  </si>
  <si>
    <t>DRI-TEC CRIB PROTECTOR</t>
  </si>
  <si>
    <t>Featuring a unique channel-weave construction designed to facilitate airflow, the Dri-Tec  performance crib mattress protector from BEDGEAR wicks away moisture and dissipates heat for a drier, more comfortable night's sleep. A waterproof, invisible barrier completely protects your baby and their mattress without changing the feel. Engineered to enhance the body-conforming qualities of memory foam and latex mattresses, this flexible protector reacts to motion, keeping them cool and comfortable even as theymove during the night.</t>
  </si>
  <si>
    <t>VER-TEX CRIB PROTECTOR</t>
  </si>
  <si>
    <t>Essential for comfortable, healthy sleep, the BEDGEARVer-Tex temperature regulating performance crib mattress protector offers a cool, comfortable waterproof layer of defense for both your baby and their bed.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theirmattress without changing the feel.</t>
  </si>
  <si>
    <t>TWIN DRI-TEC PROTECTOR</t>
  </si>
  <si>
    <t>Featuring a unique channel-weave construction designed to facilitate airflow, the Dri-Tec 5.0 performance mattress protector from BEDGEAR wicks away moisture and dissipates heat for a drier, more comfortable night's sleep. A waterproof, invisible barrier completely protects your mattress without changing the feel. Engineered to enhance the body-conforming qualities of memory foam and latex mattresses, this flexible protector reacts to your motion, keeping you cool and comfortable even as you move during the night.</t>
  </si>
  <si>
    <t>TWXL DRI-TEC PROTECTOR</t>
  </si>
  <si>
    <t>FULL DRI-TEC PROTECTOR</t>
  </si>
  <si>
    <t>QUEEN DRI-TEC PROTECTOR</t>
  </si>
  <si>
    <t>Featuring a unique channel-weave construction designed to facilitate airflow, the Dri-Tec 5.0 performance mattress protector from BEDGEAR wicks away moisture and dissipates heat, for a drier, more comfortable night's sleep. A waterproof, invisible barrier back completely protects your mattress without changing the feel. Engineered to enhance the body-conforming qualities of memory foam and latex mattresses, this flexible protector reacts to your motion, keeping you cool and comfortable even as you move during the night.</t>
  </si>
  <si>
    <t>KING DRI-TEC PROTECTOR</t>
  </si>
  <si>
    <t>CALI KING DRI-TEC PROTECTOR</t>
  </si>
  <si>
    <t>SP. CAL KG DRI-TEC PROTECTOR</t>
  </si>
  <si>
    <t>SP. KG DRI-TEC PROTECTOR</t>
  </si>
  <si>
    <t>Featuring a unique channel-weave construction designed to facilitate airflow, the Dri-Tec performance mattress protector bundle from BEDGEAR wicks away moisture and dissipates heat for a drier, more comfortable night's sleep. A waterproof, invisible barrier completely protects your mattress without changing the feel. Engineered to enhance the body-conforming qualities of memory foam and latex mattresses, this flexible protector reacts to your motion, keeping you cool and comfortable even as you move during the night.</t>
  </si>
  <si>
    <t>Split King</t>
  </si>
  <si>
    <t>SP. HEAD QN DRI-TEC PROTECTOR</t>
  </si>
  <si>
    <t>Featuring a unique channel-weave construction designed to facilitate airflow, the Dri-Tec 5.0 performance mattress protector from BEDGEAR wicks away moisture and dissipates heat, for a drier, more comfortable night's sleep. A waterproof, invisible barrier back completely protects your mattress without changing the feel. Engineered to enhance the body-conforming qualities of memory foam and latex mattresses, this flexible protector reacts to your motion, keeping you cool and comfortable even as you move during the night. A split head design allows independent position adjustment for split mattresses.</t>
  </si>
  <si>
    <t>Split Head Queen</t>
  </si>
  <si>
    <t>SP. HEAD KG DRI-TEC PROTECTOR</t>
  </si>
  <si>
    <t>Split Head King</t>
  </si>
  <si>
    <t>TWIN VER-TEX PROTECTOR</t>
  </si>
  <si>
    <t>Delivering instant heat deflection for a lasting cool-to-the-touch feel, the Ver-Tex temperature regulating performance mattress protector from BEDGEAR keeps you comfortable all night long.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your mattress without changing the feel.</t>
  </si>
  <si>
    <t>TWXL VER-TEX PROTECTOR</t>
  </si>
  <si>
    <t>Delivering instant heat deflection for a lasting cool-to-the-touch feel, the Ver-Tex 6 temperature regulating performance mattress protector from BEDGEAR keeps you comfortable all night long.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your mattress without changing the feel.</t>
  </si>
  <si>
    <t>FULL VER-TEX PROTECTOR</t>
  </si>
  <si>
    <t>QUEEN VER-TEX PROTECTOR</t>
  </si>
  <si>
    <t>KING VER-TEX PROTECTOR</t>
  </si>
  <si>
    <t>CALI KING VER-TEX PROTECTOR</t>
  </si>
  <si>
    <t>SP. CAL KG VER-TEX PROTECTOR</t>
  </si>
  <si>
    <t>Split California King</t>
  </si>
  <si>
    <t>SP. KG VER-TEX PROTECTOR</t>
  </si>
  <si>
    <t>The Ver-Tex temperature regulating performance mattress protector from BEDGEAR keeps you comfortable all night long. Features a unique contoured channel construction. Provides continuous ambient air ventilation. A waterproof invisible barrier completely protects your mattress without changing the feel.</t>
  </si>
  <si>
    <t>TW IPROTECT SLEEPER PROTECTOR</t>
  </si>
  <si>
    <t>Specially designed for sleepers, the BEDGEAR iProtect sleeper mattress protector fits securely while creating a comfortable bed for guests. BEDGEAR's product protects your sleeper mattress from dust mites, pet dander and other common allergens. To help maintain a clean and healthy sleep environment, its waterproof barrier resists stains, mold and mildew by reducing contact with liquids. The flexible two-way stretch skirt is built for mattresses up to four inches high, which prevents it from getting caught in the mechanism or bunching when folded. For easy care, this mattress protector is machine washable and can be placed in the dryer on low heat.</t>
  </si>
  <si>
    <t>FL IPROTECT SLEEPER PROTECTOR</t>
  </si>
  <si>
    <t>QN IPROTECT SLEEPER PROTECTOR</t>
  </si>
  <si>
    <t>QN WIDE IPROTECT SLEEPER PROTECTOR</t>
  </si>
  <si>
    <t>TWXL MATTRESSKIN ENCASEMENT</t>
  </si>
  <si>
    <t>TW MATTRESSKIN ENCASEMENT</t>
  </si>
  <si>
    <t>FL MATTRESSKIN ENCASEMENT</t>
  </si>
  <si>
    <t>QN MATTRESSKIN ENCASEMENT</t>
  </si>
  <si>
    <t>KG MATTRESSKIN ENCASEMENT</t>
  </si>
  <si>
    <t>CAL KG MATTRESSKIN ENCASEMENT</t>
  </si>
  <si>
    <t>TW DRI-TEC SLEEPER PROTECTOR</t>
  </si>
  <si>
    <t>FL DRI-TEC SLEEPER PROTECTOR</t>
  </si>
  <si>
    <t>QN DRI-TEC SLEEPER PROTECTOR</t>
  </si>
  <si>
    <t>QN X-WIDE DRI-TEC SLEEPER PROTECTOR</t>
  </si>
  <si>
    <t>TWXL LO PRO FOUNDATION</t>
  </si>
  <si>
    <t>KG EASE 4.0</t>
  </si>
  <si>
    <t>QN IPROTECT PILLOW PROTECTOR</t>
  </si>
  <si>
    <t>Simple protection at its best Engineered from breathable, moisture wicking fabric, the iProtect Pillow Protector is designed to protect your pillows against pet dander, dust mites, and allergens. This lightweight pillow protector securely fits against your pillow for a smooth fit that never bunches.</t>
  </si>
  <si>
    <t>KG IPROTECT PILLOW PROTECTOR</t>
  </si>
  <si>
    <t>TWXL LOW PRO FOUNDATION</t>
  </si>
  <si>
    <t>TWXL BR BLK LO PRO FOUNDATION</t>
  </si>
  <si>
    <t>TWXL S&amp;F LO PRO FOUNDATION</t>
  </si>
  <si>
    <t>KG EZ-LIFT FOUNDATION</t>
  </si>
  <si>
    <t>CKG CASPER CLOUD ONE</t>
  </si>
  <si>
    <t>Cali King</t>
  </si>
  <si>
    <t>CKG CASPER ONE</t>
  </si>
  <si>
    <t>CKG CASPER DREAM</t>
  </si>
  <si>
    <t>CKG CASPER SNOW 2.0</t>
  </si>
  <si>
    <t>CKG CASPER SNOW MAX</t>
  </si>
  <si>
    <t>CKG CASPER DREAM MAX</t>
  </si>
  <si>
    <t>CKG CASPER ONYX 2.0</t>
  </si>
  <si>
    <t>CKG SMART MATCH 2.0</t>
  </si>
  <si>
    <t>CAL KG ADAPT MEDIUM</t>
  </si>
  <si>
    <t>CAL KG ADAPT MEDIUM HYBRID</t>
  </si>
  <si>
    <t>CAL KG PROADAPT FIRM</t>
  </si>
  <si>
    <t>CKG PROBREEZE MEDIUM</t>
  </si>
  <si>
    <t>CKG PROBREEZE MED HYBRID</t>
  </si>
  <si>
    <t>CAL KG PROADAPT MEDIUM</t>
  </si>
  <si>
    <t>CAL KG PROADAPT SOFT</t>
  </si>
  <si>
    <t>CAL KG PROADAPT MEDIUM HYBRID</t>
  </si>
  <si>
    <t>CAL KG LUXEADAPT SOFT</t>
  </si>
  <si>
    <t>CAL KG LUXEADAPT FIRM</t>
  </si>
  <si>
    <t>CAL KG LUXEADAPT MEDIUM HYBRID</t>
  </si>
  <si>
    <t>CAL KG ACTIVE BREEZE MEDIUM HYBRID</t>
  </si>
  <si>
    <t>CKG LUXEBREEZE MED HYB</t>
  </si>
  <si>
    <t>CKG LUXEBREEZE SOFT</t>
  </si>
  <si>
    <t>CKG LUXEBREEZE FIRM</t>
  </si>
  <si>
    <t>CKG T&amp;N TN3.1</t>
  </si>
  <si>
    <t>CKG T&amp;N TN5.1</t>
  </si>
  <si>
    <t>CKG T&amp;N TN7.1</t>
  </si>
  <si>
    <t>CKG T&amp;N TN9.1</t>
  </si>
  <si>
    <t>CKG T&amp;N TN1</t>
  </si>
  <si>
    <t>CKG BROAD PEAK</t>
  </si>
  <si>
    <t>CKG ALLANTON</t>
  </si>
  <si>
    <t>CKG ADVANCED MEDIUM</t>
  </si>
  <si>
    <t>CKG ADVANCED PLUSH PILLOW TOP</t>
  </si>
  <si>
    <t>CKG OCEANA MIST</t>
  </si>
  <si>
    <t>CKG BR HARMONY LUX MEDIUM</t>
  </si>
  <si>
    <t>CKG WORLD CLASS LEVEL THREE PLUSH</t>
  </si>
  <si>
    <t>CKG WORLD CLASS LEVEL THREE MED PT</t>
  </si>
  <si>
    <t>CKG WORLD CLASS LEVEL FOUR PLUSH PT</t>
  </si>
  <si>
    <t>CKG KERRY PARK</t>
  </si>
  <si>
    <t>CKG NORTHGATE</t>
  </si>
  <si>
    <t>CKG BRIERWOOD</t>
  </si>
  <si>
    <t>CKG ORCHARDSIDE</t>
  </si>
  <si>
    <t>CKG CASTLE ROCK</t>
  </si>
  <si>
    <t>CKG PEBBLEBROOK</t>
  </si>
  <si>
    <t>CKG PENNSBORO</t>
  </si>
  <si>
    <t>CKG SONTERRA</t>
  </si>
  <si>
    <t>CKG ALBANY II</t>
  </si>
  <si>
    <t>CKG SERIES ONE EXTRA FIRM</t>
  </si>
  <si>
    <t>Experience extraordinary sleep at the intersection of luxury and innovation with the Beautyrest Black Collection's premier materials and advanced sleep technology.  Triple-Stranded Pocketed Coil Technology offers our highest level of individualized support and motion separation, so you can rest undisturbed.  Specialized vertical fibers combine with an applied surface-cooling technology to help transfer heat away from the body all night.  Contouring foam adheres to the shape of your body for exceptional pressure relief.  High-density, firm-feel comfort foam provides a unique combination of comfort and support night after night.  A unique, channeled design promotes airflow for cool, enhanced pressure relief.  All foams are CertiPUR-US certified. Our mattresses are proudly assembled in the USA.  Adjustable base compatible.</t>
  </si>
  <si>
    <t>CKG SERIES ONE MEDIUM</t>
  </si>
  <si>
    <t>CKG SERIES ONE PLUSH</t>
  </si>
  <si>
    <t>CKG SERIES ONE FIRM PILLOW TOP</t>
  </si>
  <si>
    <t>CKG SERIES ONE MEDIUM PILLOW TOP</t>
  </si>
  <si>
    <t>CKG SERIES ONE PLUSH PILLOW TOP</t>
  </si>
  <si>
    <t>CKG SERIES TWO FIRM</t>
  </si>
  <si>
    <t>CKG SERIES TWO MEDIUM TT</t>
  </si>
  <si>
    <t>CKG SERIES TWO PLUSH</t>
  </si>
  <si>
    <t>CKG SERIES TWO MED PILLOW TOP</t>
  </si>
  <si>
    <t>CKG SERIES TWO PLUSH PILLOW TOP</t>
  </si>
  <si>
    <t>CKG SERIES THREE EXTRA FIRM</t>
  </si>
  <si>
    <t>CKG SERIES THREE FIRM</t>
  </si>
  <si>
    <t>CKG SERIES THREE MEDIUM</t>
  </si>
  <si>
    <t>CKG SERIES THREE FIRM PILLOW TOP</t>
  </si>
  <si>
    <t>CKG SERIES THREE MEDIUM PILLOW TOP</t>
  </si>
  <si>
    <t>CKG SERIES THREE PLUSH PT</t>
  </si>
  <si>
    <t>CKG SERIES FOUR FIRM PILLOW TOP</t>
  </si>
  <si>
    <t>CKG SERIES FOUR MEDIUM PILLOW TOP</t>
  </si>
  <si>
    <t>CKG SERIES FOUR PLUSH SUMMIT PILLOW TOP</t>
  </si>
  <si>
    <t>CKG SERIES ONE FIRM HYBRID</t>
  </si>
  <si>
    <t>CKG SERIES ONE MEDIUM HYBRID</t>
  </si>
  <si>
    <t>CKG SERIES TWO PLUSH HYBRID</t>
  </si>
  <si>
    <t>CKG SERIES TWO MEDIUM APEX HYBRID</t>
  </si>
  <si>
    <t>CKG SERIES THREE FIRM HYBRID</t>
  </si>
  <si>
    <t>CKG SERIES THREE PLUSH HYBRID</t>
  </si>
  <si>
    <t>CKG SERIES THREE MEDIUM HYBRID</t>
  </si>
  <si>
    <t>CAL KG ESTATE MEDIUM TT</t>
  </si>
  <si>
    <t>CAL KG STUDIO MEDIUM PT</t>
  </si>
  <si>
    <t>CAL KG ESTATE EXTRA FIRM TT</t>
  </si>
  <si>
    <t>CAL KG ESTATE FIRM TT</t>
  </si>
  <si>
    <t>CAL KG ESTATE SOFT TT</t>
  </si>
  <si>
    <t>CAL KG ESTATE FIRM PT</t>
  </si>
  <si>
    <t>CAL KG ESTATE SOFT PT</t>
  </si>
  <si>
    <t>CAL KG LUX ESTATE EXTRA FIRM TT</t>
  </si>
  <si>
    <t>CAL KG LUX ESTATE MEDIUM TT</t>
  </si>
  <si>
    <t>CAL KG LUX ESTATE FIRM PT</t>
  </si>
  <si>
    <t>CAL KG LUX ESTATE SOFT PT</t>
  </si>
  <si>
    <t>CAL KG LUX ESTATE MEDIUM PT</t>
  </si>
  <si>
    <t>CAL KG LUX HYBRID SOFT</t>
  </si>
  <si>
    <t>CAL KG RESERVE MEDIUM TT</t>
  </si>
  <si>
    <t>CAL KG RESERVE FIRM PT</t>
  </si>
  <si>
    <t>CAL KG RESERVE SOFT PT</t>
  </si>
  <si>
    <t>CAL KG RESERVE DUET</t>
  </si>
  <si>
    <t>CAL KG LUX ESTATE ELITE MEDIUM PT</t>
  </si>
  <si>
    <t>CKG LUX HYBRID ELITE MEDIUM</t>
  </si>
  <si>
    <t>CKG HELIX TWILIGHT</t>
  </si>
  <si>
    <t>CKG HELIX MIDNIGHT LUXE</t>
  </si>
  <si>
    <t>CKG HELIX MIDNIGHT ELITE</t>
  </si>
  <si>
    <t>TW 3 FOUNDATION</t>
  </si>
  <si>
    <t>TW LO PRO FOUNDATION</t>
  </si>
  <si>
    <t>TW 3 LO PRO FOUNDATION</t>
  </si>
  <si>
    <t>TW S&amp;F LO PRO FOUNDATION</t>
  </si>
  <si>
    <t>TWIN LO PRO FOUNDATION</t>
  </si>
  <si>
    <t>SP CKG BASELOGIC SILVER</t>
  </si>
  <si>
    <t>SP CKG BASELOGIC PLATINUM</t>
  </si>
  <si>
    <t>SP CKG ADAPT MEDIUM</t>
  </si>
  <si>
    <t>SP CKG ADAPT MEDIUM HYBRID</t>
  </si>
  <si>
    <t>SP CKG PROADAPT FIRM</t>
  </si>
  <si>
    <t>SP CKG PROBREEZE MEDIUM</t>
  </si>
  <si>
    <t>SP CKG PROBREEZE MED HYBRID</t>
  </si>
  <si>
    <t>SP CKG PROADAPT MEDIUM</t>
  </si>
  <si>
    <t>SP CKG PROADAPT SOFT</t>
  </si>
  <si>
    <t>SP CKG PROADAPT MEDIUM HYBRID</t>
  </si>
  <si>
    <t>SP CKG LUXEADAPT SOFT</t>
  </si>
  <si>
    <t>SP CKG LUXEADAPT FIRM</t>
  </si>
  <si>
    <t>SPLIT CAL KG ACTIVE BREEZE MEDIUM HYBRID</t>
  </si>
  <si>
    <t>SP CKG LUXEBREEZE MED HYB</t>
  </si>
  <si>
    <t>SP CKG LUXEBREEZE SOFT</t>
  </si>
  <si>
    <t>SP CKG LUXEBREEZE FIRM</t>
  </si>
  <si>
    <t>SPLT CAL KG HI PRO FOUNDATION</t>
  </si>
  <si>
    <t>SP CAL KG TEMPUR-ERGO 3.0</t>
  </si>
  <si>
    <t>SP CAL KG TEMPUR-ERGO SMART</t>
  </si>
  <si>
    <t>SP CAL KG TEMPUR-ERGO PROSMART</t>
  </si>
  <si>
    <t>SP CAL KG TEMPUR PROSMART AIR</t>
  </si>
  <si>
    <t>SP CAL KG HI PRO FOUNDATION</t>
  </si>
  <si>
    <t>CKG HI PRO FOUNDATION</t>
  </si>
  <si>
    <t>SPLT CAL KG EASE 4.0</t>
  </si>
  <si>
    <t>SP CKG SERIES ONE EXTRA FIRM</t>
  </si>
  <si>
    <t>SP CKG SERIES ONE MEDIUM</t>
  </si>
  <si>
    <t>SP CKG SERIES ONE PLUSH</t>
  </si>
  <si>
    <t>SP CKG SERIES ONE FIRM PILLOW TOP</t>
  </si>
  <si>
    <t>SP CKG SERIES ONE MEDIUM PILLOW TOP</t>
  </si>
  <si>
    <t>SP CKG SERIES ONE PLUSH PILLOW TOP</t>
  </si>
  <si>
    <t>SP CKG SERIES TWO FIRM</t>
  </si>
  <si>
    <t>SP CKG SERIES TWO MEDIUM</t>
  </si>
  <si>
    <t>SP CKG SERIES TWO PLUSH</t>
  </si>
  <si>
    <t>SP CKG SERIES TWO PLUSH PILLOW TOP</t>
  </si>
  <si>
    <t>SP CKG SERIES THREE EXTRA FIRM</t>
  </si>
  <si>
    <t>SP CKG SERIES THREE FIRM</t>
  </si>
  <si>
    <t>SP CKG SERIES THREE MEDIUM</t>
  </si>
  <si>
    <t>SP CKG SERIES THREE FIRM PILLOW TOP</t>
  </si>
  <si>
    <t>SP CKG SERIES THREE MEDIUM PILLOW TOP</t>
  </si>
  <si>
    <t>SP CKG SERIES THREE PLUSH PT</t>
  </si>
  <si>
    <t>SP CKG SERIES FOUR FIRM PILLOW TOP</t>
  </si>
  <si>
    <t>SP CKG SERIES FOUR MEDIUM PILLOW TOP</t>
  </si>
  <si>
    <t>SP CKG SERIES FOUR PLUSH SUMMIT PILLOW TOP</t>
  </si>
  <si>
    <t>SP CKG BR BLK HI PRO FOUNDATION</t>
  </si>
  <si>
    <t>SPLIT CAL KG ESTATE FIRM TT</t>
  </si>
  <si>
    <t>SPLIT CALI LUX ESTATE SOFT PT</t>
  </si>
  <si>
    <t>SPLIT CAL KG S&amp;F HI PRO FOUNDATION</t>
  </si>
  <si>
    <t>FL 3 FOUNDATION</t>
  </si>
  <si>
    <t>FL LO PRO FOUNDATION</t>
  </si>
  <si>
    <t>FL 3 LO PRO FOUNDATION</t>
  </si>
  <si>
    <t>FL BR BLK LOW PRO FOUNDATION</t>
  </si>
  <si>
    <t>FL S&amp;F LO PRO FOUNDATION</t>
  </si>
  <si>
    <t>FULL LO PRO FOUNDATION</t>
  </si>
  <si>
    <t>SPLT CAL KG LO PRO FOUNDATION</t>
  </si>
  <si>
    <t>CKG TEMPUR-ERGO 3.0</t>
  </si>
  <si>
    <t>CKG TEMPUR-ERGO SMART</t>
  </si>
  <si>
    <t>CKG TEMPUR-ERGO PROSMART</t>
  </si>
  <si>
    <t>CAL KG LO PRO FOUNDATION</t>
  </si>
  <si>
    <t>CAL KG EASE 4.0</t>
  </si>
  <si>
    <t>Boasting all of the features of a power base, the Sealy Ease 4.0 adjustable base delivers custom comfort. With adjustable head and foot positions, it promotes ergonomic alignment using a wireless remote. For enhanced relaxation, the zero gravity preset relieves pressure from your lower back to simulate a feeling of weightlessness. Easily set the base flat again with the touch of a button. Plus, tapered legs feature removable pieces to conveniently adjust the base height. Its light, thin profile offers a more seamless storage experience.</t>
  </si>
  <si>
    <t>CKG LO PRO FOUNDATION</t>
  </si>
  <si>
    <t>SP CKG BR BLK LOW PRO FOUNDATION</t>
  </si>
  <si>
    <t>SPLIT CAL KG S&amp;F LO PRO FOUNDATION</t>
  </si>
  <si>
    <t>SHK LUXEBREEZE MED HYB</t>
  </si>
  <si>
    <t>SHK LUXEBREEZE SOFT</t>
  </si>
  <si>
    <t>SHK LUXEBREEZE FIRM</t>
  </si>
  <si>
    <t>TWXL ULTRA LO FOUNDATION</t>
  </si>
  <si>
    <t>SWING KIT</t>
  </si>
  <si>
    <t>MODI PLATE</t>
  </si>
  <si>
    <t>QN BEAUTYREST BLACK FOAM PILLOW</t>
  </si>
  <si>
    <t>Luxuriously designed with innovative materials, the Beautyrest Black pillow offers the indulgence of cool-to-the-touch, breathable comfort night after night. Removable, machine-washable cover made of cooling cashmere-blended fabric. Premium ventilated memory foam infused with graphite promotes airflow and helps transfer heat away from the head and neck. Contours to the head and neck for pressure-relieving support.</t>
  </si>
  <si>
    <t>KG BEAUTYREST BLACK FOAM PILLOW</t>
  </si>
  <si>
    <t>ME 4 AND EASE 3.0 HDBD BRKT</t>
  </si>
  <si>
    <t>ASPEN 0.0 PILLOW</t>
  </si>
  <si>
    <t>ASPEN 1.0 PILLOW</t>
  </si>
  <si>
    <t>ASPEN 2.0 PILLOW</t>
  </si>
  <si>
    <t>ASPEN 3.0 PILLOW</t>
  </si>
  <si>
    <t>ASPEN 0.0 KING PILLOW</t>
  </si>
  <si>
    <t>ASPEN 1.0 KING PILLOW</t>
  </si>
  <si>
    <t>ASPEN 2.0 KING PILLOW</t>
  </si>
  <si>
    <t>ASPEN 3.0 KING PILLOW</t>
  </si>
  <si>
    <t>STORM 0.0 PILLOW</t>
  </si>
  <si>
    <t>Dual-sided Performance pillow. Ver-Tex instant cooling cover helps reduce overheating. Responsive foam provides ample support for the head, neck and shoulders. Air-X mesh materials enhance airflow for maximum breathability.</t>
  </si>
  <si>
    <t>STORM 1.0 PILLOW</t>
  </si>
  <si>
    <t>STORM 2.0 PILLOW</t>
  </si>
  <si>
    <t>STORM 3.0 PILLOW</t>
  </si>
  <si>
    <t>STORM 0.0 KING PILLOW</t>
  </si>
  <si>
    <t>Dual-sided Performance pillow.Ver-Tex instant cooling cover helps reduce overheating.Responsive foam provides ample support for the head, neck and shoulders.Air-X mesh materials enhance airflow for maximum breathability.</t>
  </si>
  <si>
    <t>STORM 1.0 KING PILLOW</t>
  </si>
  <si>
    <t>STORM 2.0 KING PILLOW</t>
  </si>
  <si>
    <t>STORM 3.0 KING PILLOW</t>
  </si>
  <si>
    <t>NIGHT ICE 0.0 PILLOW</t>
  </si>
  <si>
    <t>NIGHT ICE 1.0 PILLOW</t>
  </si>
  <si>
    <t>NIGHT ICE 2.0 PILLOW</t>
  </si>
  <si>
    <t>NIGHT ICE 3.0 PILLOW</t>
  </si>
  <si>
    <t>NIGHT ICE  0.0 KING PILLOW</t>
  </si>
  <si>
    <t>NIGHT ICE 1.0 KING PILLOW</t>
  </si>
  <si>
    <t>NIGHT ICE 2.0 KING PILLOW</t>
  </si>
  <si>
    <t>NIGHT ICE 3.0 KING PILLOW</t>
  </si>
  <si>
    <t>RTG-SLEEP 5900 HDBD BRACKET</t>
  </si>
  <si>
    <t>TW PREMIUM BAMBOO 3PC SHEET SET</t>
  </si>
  <si>
    <t>TWXL PREMIUM BAMBOO 3PC SHEET SET</t>
  </si>
  <si>
    <t>FL PREMIUM BAMBOO 4PC SHEET SET</t>
  </si>
  <si>
    <t>QN PREMIUM BAMBOO 4PC SHEET SET</t>
  </si>
  <si>
    <t>KG PREMIUM BAMBOO 4PC SHEET SET</t>
  </si>
  <si>
    <t>CKG PREMIUM BAMBOO 4PC SHEET SET</t>
  </si>
  <si>
    <t>FL DRI-TEC 4PC SHEET SET</t>
  </si>
  <si>
    <t>The advanced moisture wicking technology in the Dri-Tec Performance 4 Pc Full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</si>
  <si>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QN DRI-TEC 4PC SHEET SET</t>
  </si>
  <si>
    <t>The advanced moisture wicking technology in the Dri-Tec Performance 4 Pc Queen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</si>
  <si>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TW/TWXL DRI-TEC 3 PC SHEET SET</t>
  </si>
  <si>
    <t>The advanced moisture wicking technology in the Dri-Tec Performance 3 Pc Twin XL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1 pillowcase.</t>
  </si>
  <si>
    <t>Twin,Twin XL</t>
  </si>
  <si>
    <t>KG/CKG DRI-TEC 4 PC SHEET SET</t>
  </si>
  <si>
    <t>The advanced moisture wicking technology in the Dri-Tec Performance 4 Pc California King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king pillowcases.</t>
  </si>
  <si>
    <t>California King,King</t>
  </si>
  <si>
    <t>SP KG/SP CKG DRI-TEC 5 PC SHEET SET</t>
  </si>
  <si>
    <t>Advanced moisture-wicking technology in the Dri-Tec Performance Split King/Split California King Bed Sheet Set helps you sleep drier, cooler and more comfortably throughout the night. The soft, conforming material moves with you throughout the night, providing a no-cling, no-pull stretch. CFM Certified for maximum air flow, these sheets allow your body to achieve optimal temperature regulation. This set includes 1 flat sheet, 2 fitted sheets and 2 split king/split California king pillowcases.</t>
  </si>
  <si>
    <t>Split California King,Split King</t>
  </si>
  <si>
    <t>The advanced moisture wicking technology in the Dri-Tec Performance bed sheet set helps you sleep drier, cooler, and more comfortably throughout the night. The soft, conforming material moves with you, and provides a no-cling, no-pull stretch. CFM Certified for maximum air flow, allowing your body to achieve optimal temperature regulation. This set includes 1 flat sheet, 1 fitted sheet, and 1 pillowcase.</t>
  </si>
  <si>
    <t>The advanced moisture wicking technology in the Dri-Tec Performance bed sheet set helps you sleep drier, cooler, and more comfortably throughout the night. The soft, conforming material moves with you, and provides a no-cling, no-pull stretch. CFM Certified for maximum air flow, allowing your body to achieve optimal temperature regulation. This set includes 1 flat sheet, 1 fitted sheet, and 2 pillowcases.</t>
  </si>
  <si>
    <t>The advanced moisture wicking technology in the Dri-Tec Performance Granite 4 Pc Full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</si>
  <si>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The advanced moisture wicking technology in the Dri-Tec Performance Granite 4 Pc Queen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</si>
  <si>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TWIN BASIC 3PC SHEET SET</t>
  </si>
  <si>
    <t>The BG Basic White 3 Pc Twin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</si>
  <si>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TWXL BASIC 3PC SHEET SET</t>
  </si>
  <si>
    <t>The BG Basic White 3 Pc Twin XL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</si>
  <si>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TW/TWXL DRI-TEC 3PC SHEET SET</t>
  </si>
  <si>
    <t>The advanced moisture wicking technology in the Dri-Tec Performance Granite 3 Pc Twin XL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1 pillowcase.</t>
  </si>
  <si>
    <t>KG/CKG DRI-TEC 4PC SHEET SET</t>
  </si>
  <si>
    <t>The advanced moisture wicking technology in the Dri-Tec Performance Granite 4 Pc California King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king pillowcases.</t>
  </si>
  <si>
    <t>SP KG/SP CKG DRI-TEC 5PC SHEET SET</t>
  </si>
  <si>
    <t>Advanced moisture-wicking technology in the Dri-Tec Performance Granite Split King/Split California King Bed Sheet Set helps you sleep drier, cooler and more comfortably throughout the night. The soft, conforming material moves with you throughout the night, providing a no-cling, no-pull stretch. CFM Certified for maximum air flow, these sheets allow your body to achieve optimal temperature regulation. This set includes 1 flat sheet, 2 fitted sheets and 2 split king/split California king pillowcases.</t>
  </si>
  <si>
    <t>TW HYPER-COTTON 3PC SHEET SET</t>
  </si>
  <si>
    <t>Made with innovative cooling technology, BEDGEAR's Hyper-Cotton Performance sheet set is designed for flexibility, durability and comfort. Hyper-Cotton material allows more airflow to your bed when compared to traditional 100% cotton sheets, allowing your body to achieve optimal temperature regulation. The seamless fitted sheet creates a smooth sleep surface and long-lasting construction, so you don't have to worry about ripped seams. A fitted sheet Powerband ensures the most secure fit and grip on your mattress and works great with adjustable bases. Ideal for all seasons, Hyper-Cotton sheets have a fast-dry technology that quickly evaporates moisture.</t>
  </si>
  <si>
    <t>TWXL HYPER-COTTON 3PC SHEET SET</t>
  </si>
  <si>
    <t>FL HYPER-COTTON 4PC SHEET SET</t>
  </si>
  <si>
    <t>QN HYPER-COTTON 4PC SHEET SET</t>
  </si>
  <si>
    <t>KG HYPER-COTTON 4PC SHEET SET</t>
  </si>
  <si>
    <t>CKG HYPER-COTTON 4PC SHEET SET</t>
  </si>
  <si>
    <t>SP KG HYPER-COTTON 5PC SHEET SET</t>
  </si>
  <si>
    <t>SP CKG HYPER-COTTON 5PC SHEET SET</t>
  </si>
  <si>
    <t>Made with innovative cooling technology, Bedgear's Hyper-Cotton Performance sheet set is designed for flexibility, durability and comfort. Hyper-Cotton material allows more airflow to your bed when compared to traditional 100% cotton sheets, allowing your body to achieve optimal temperature regulation. The seamless fitted sheet creates a smooth sleep surface and long-lasting construction, so you don't have to worry about ripped seams. A fitted sheet Powerband ensures the most secure fit and grip on your mattress and works great with adjustable bases. Ideal for all seasons, Hyper-Cotton sheets have a fast-dry technology that quickly evaporates moisture.</t>
  </si>
  <si>
    <t>QN VER-TEX 4PC SHEET SET</t>
  </si>
  <si>
    <t>When things heat up, Ver-Tex sheets keep you cool all night long. Taking inspiration from your favorite active wear, Bedgear has engineered these sheets to be the smoothest, coolest sheets around.</t>
  </si>
  <si>
    <t>CRIB DRI-TEC SHEET</t>
  </si>
  <si>
    <t>KING/CAL KG VER-TEX 4PC SHEET SET</t>
  </si>
  <si>
    <t>SP. KING/SP. CAL KG VER-TEX 5PC SHEET SET</t>
  </si>
  <si>
    <t>CRIB HYPER-LINEN SHEET</t>
  </si>
  <si>
    <t>QN DRI-TEC BOX SPRING COVER</t>
  </si>
  <si>
    <t>KG DRI-TEC BOX SPRING COVER</t>
  </si>
  <si>
    <t>CKG DRI-TEC BOX SPRING COVER</t>
  </si>
  <si>
    <t>FULL BASIC 4PC SHEET SET</t>
  </si>
  <si>
    <t>The BG Basic White 4 Pc Full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</si>
  <si>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QUEEN BASIC 4PC SHEET SET</t>
  </si>
  <si>
    <t>The BG Basic White 4 Pc Queen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</si>
  <si>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KING BASIC 4PC SHEET SET</t>
  </si>
  <si>
    <t>The BG Basic White 4 Pc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</si>
  <si>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CALI KG BASIC 4PC SHEET SET</t>
  </si>
  <si>
    <t>The BG Basic White 4 Pc California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</si>
  <si>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BEAUTY PERFORMANCE PILLOW</t>
  </si>
  <si>
    <t>QN HYPER-SILK PERFORMANCE PILLOWCASE</t>
  </si>
  <si>
    <t>KG HYPER-SILK PERFORMANCE PILLOWCASE</t>
  </si>
  <si>
    <t>HYPER-SILK PERFORMANCE SLEEP MASK</t>
  </si>
  <si>
    <t>HYPER-SILK PERFORMANCE TURBAN</t>
  </si>
  <si>
    <t>HYPER-SILK PLUSH PERFORMANCE SCRUNCHIE</t>
  </si>
  <si>
    <t>The BG Basic 3 Pc Twin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</si>
  <si>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BG Basic 3 Pc Twin XL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</si>
  <si>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BG Basic 4 Pc Full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</si>
  <si>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The BG Basic 4 Pc Queen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</si>
  <si>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The BG Basic 4 Pc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</si>
  <si>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The BG Basic 4 Pc California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</si>
  <si>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The BedGear Basic bed sheet set offers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</si>
  <si>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BedGear Basic bed sheet set offers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pillowcases.</t>
  </si>
  <si>
    <t>RTG-SLEEP UNIVERSAL HEADBOARD BRACKET</t>
  </si>
  <si>
    <t>TWIN/TWXL DRI-TEC 3PC SHEET SET</t>
  </si>
  <si>
    <t>FL WHITE DRI-TEC 4PC SHEET SET</t>
  </si>
  <si>
    <t>KING/CAL KG DRI-TEC 4PC SHEET SET</t>
  </si>
  <si>
    <t>SP. KING/SP. CAL KG DRI-TEC 5PC SHEET SET</t>
  </si>
  <si>
    <t>CASPER PILLOW STANDARD</t>
  </si>
  <si>
    <t>CASPER PILLOW KING</t>
  </si>
  <si>
    <t>CASPER SNOW STANDARD PILLOW</t>
  </si>
  <si>
    <t>Wake up feeling refreshed and revitalized after a night of supportive comfort provided by the Casper hybrid pillow. Engineered with Snow technology, this innovative foam and fiber design delivers a soft and supple feel that helps you sleep cooler for more than 12 hours. The CoolTouch cover provides immediate temperature regulation while the AirScape technology creates a breathable layer for a fresh and comfortable sleep experience night after night.</t>
  </si>
  <si>
    <t>CASPER SNOW KING PILLOW</t>
  </si>
  <si>
    <t>TWX PREMIUM REFRESHING LYOCELL 3PC SHEET SET</t>
  </si>
  <si>
    <t>QN PREMIUM REFRESHING LYOCELL 4PC SHEET SET</t>
  </si>
  <si>
    <t>KG PREMIUM REFRESHING LYOCELL 4PC SHEET SET</t>
  </si>
  <si>
    <t>SPLIT KG PREMIUM REFRESHING LYOCELL 4PC SHEET SET</t>
  </si>
  <si>
    <t>SPLIT CALI KG PREMIUM REFRESHING LYOCELL 4PC SHEET SET</t>
  </si>
  <si>
    <t>CKG PREMIUM REFRESHING LYOCELL 4PC SHEET SET</t>
  </si>
  <si>
    <t>4 LEG T/F FRAME W/ GLIDES</t>
  </si>
  <si>
    <t>GLIDEAWAY</t>
  </si>
  <si>
    <t>Twin/Full Frames</t>
  </si>
  <si>
    <t>All</t>
  </si>
  <si>
    <t>6 LEG Q/K/CK FRAME W/ GLIDES</t>
  </si>
  <si>
    <t>King/Queen Frames</t>
  </si>
  <si>
    <t>California King,King,Queen</t>
  </si>
  <si>
    <t>F/Q/K/CK CENTER SUPPORTS</t>
  </si>
  <si>
    <t>T/F HOOK ON RAILS</t>
  </si>
  <si>
    <t>T/F BOLT ON RAILS</t>
  </si>
  <si>
    <t>Q/K HOOK ON RAILS</t>
  </si>
  <si>
    <t>Q/K BOLT ON RAILS</t>
  </si>
  <si>
    <t>HOOK ON ADAPTER</t>
  </si>
  <si>
    <t>75G TWXL FRAME W/ GLIDES</t>
  </si>
  <si>
    <t>TWIN TRUNDLE ROLL OUT WITH WOOD SLATS</t>
  </si>
  <si>
    <t>S&amp;F LATEX PILLOW</t>
  </si>
  <si>
    <t>Ensuring consistent comfort throughout the night is the Stearns &amp; Foster latex pillow. Crafted with a stretch knit cover with breathable Tencel material to wick away moisture and provide exceptional all-night comfort. State of the art surface guard technology protects the pillow from bacteria, odors and staining. Premium latex delivers proper pressure relief and support for neck and shoulders.</t>
  </si>
  <si>
    <t>TEMPUR-ADAPT PROADJUST QUEEN PLW</t>
  </si>
  <si>
    <t>The TEMPUR-Adapt ProAdjust Pillow complements the Adapt Collection with exclusive TEMPUR-Material that precisely adapts to your head, neck, and shoulders. It's specifically designed to provide back, side, or stomach sleepers deeply comfortable rest all night long. Exclusive TEMPUR-Material can be added or removed for personalized support and comfort. The removable, machine-washable SmartClimate Cover is woven with special fibers that provide a cool-to-the-touch surface.</t>
  </si>
  <si>
    <t>TEMPUR-ADAPT PROADJUST KING PLW</t>
  </si>
  <si>
    <t>TEMPUR-ADAPT PROLO QUEEN PLW</t>
  </si>
  <si>
    <t>Specifically designed to complement Adapt Collection mattresses, the TEMPUR-Adapt ProLo Pillow provides the most comfort for stomach and back sleepers. Its medium-firm feel offers personalized support while proprietary TEMPUR-Material adjusts to your shape for the all-night comfort you deserve. Complete with a removable, machine-washable, cool-to-the-touch SmartClimate Cover, the TEMPUR-Adapt ProLo Pillow helps pull heat away from the body for cooling comfort all night long. Designed to adapt to your head, neck, and shoulders, TEMPUR-Material delivers exceptional pressure relief to help reduce aches and pains.</t>
  </si>
  <si>
    <t>TEMPUR-ADAPT PROLO KING PLW</t>
  </si>
  <si>
    <t>TEMPUR-ADAPT PROHI QUEEN PLW</t>
  </si>
  <si>
    <t>The TEMPUR-Adapt ProHi Pillow is designed to complement the Adapt mattress collection and provide maximum comfort for side and combination sleepers. Its high profile and medium-firm feel offers personalized support while innovative TEMPUR-Material adapts to your shape for superior comfort all night. Complete with a removable, machine-washable, cool-to-the-touch SmartClimate Cover, the TEMPUR-Adapt ProHi Pillow helps pull heat away from the body for refreshing, all-night cooling comfort. Designed to adapt to your head, neck, and shoulders, TEMPUR-Material delivers exceptional pressure relief to help reduce aches and pains.</t>
  </si>
  <si>
    <t>TEMPUR-ADAPT PROHI KING PLW</t>
  </si>
  <si>
    <t>TEMPUR-BREEZE PROLO QN PLW</t>
  </si>
  <si>
    <t>TEMPUR-BREEZE PROLO KING PLW</t>
  </si>
  <si>
    <t>TEMPUR-BREEZE PROHI QN PLW</t>
  </si>
  <si>
    <t>TEMPUR-BREEZE PROHI KING PLW</t>
  </si>
  <si>
    <t>TW PREMIUM SOFT TOUCH 3PC SHEET SET</t>
  </si>
  <si>
    <t>TWX PREMIUM SOFT TOUCH 3PC SHEET SET</t>
  </si>
  <si>
    <t>FULL PREMIUM SOFT TOUCH 4PC SHEET SET</t>
  </si>
  <si>
    <t>QUEEN PREMIUM SOFT TOUCH 4PC SHEET SET</t>
  </si>
  <si>
    <t>KING PREMIUM SOFT TOUCH 4PC SHEET SET</t>
  </si>
  <si>
    <t>CALI KING PREMIUM SOFT TOUCH 3PC SHEET SET</t>
  </si>
  <si>
    <t>SPLIT CALI KING PREMIUM SOFT TOUCH 4PC SHEET SET</t>
  </si>
  <si>
    <t>CALI KING PREMIUM SOFT TOUCH 4PC SHEET SET</t>
  </si>
  <si>
    <t>SPLIT KING PREMIUM SOFT TOUCH 4PC SHEET SET</t>
  </si>
  <si>
    <t>COOLING DOWN COMPLETE PILLOW</t>
  </si>
  <si>
    <t>COOLING SOFTCELL CHILL SELECT PILLOW</t>
  </si>
  <si>
    <t>COOLING REPLENISH PILLOW</t>
  </si>
  <si>
    <t>MEMORY FOAM PUFF PILLOW SET OF 2</t>
  </si>
  <si>
    <t>FL ENGAUGE FRAME</t>
  </si>
  <si>
    <t>QN ENGAUGE FRAME</t>
  </si>
  <si>
    <t>KG ENGAUGE FRAME</t>
  </si>
  <si>
    <t>CKG ENGAUGE FRAME</t>
  </si>
  <si>
    <t>FOAM PILLOW SET OF 2</t>
  </si>
  <si>
    <t>KG NIGHT ICE CHOOSE YOUR PILLOW</t>
  </si>
  <si>
    <t>QN STORM CHOOSE YOUR PILLOW</t>
  </si>
  <si>
    <t>KG STORM CHOOSE YOUR PILLOW</t>
  </si>
  <si>
    <t>QN ASPEN CHOOSE YOUR PILLOW</t>
  </si>
  <si>
    <t>KG ASPEN CHOOSE YOUR PILLOW</t>
  </si>
  <si>
    <t>QN NIGHT ICE CHOOSE YOUR PILLOW</t>
  </si>
  <si>
    <t>NO FOUNDATION</t>
  </si>
  <si>
    <t>Sku Number</t>
  </si>
  <si>
    <t>Sale Price</t>
  </si>
  <si>
    <t>Proprietary (P)</t>
  </si>
  <si>
    <t>P</t>
  </si>
  <si>
    <t>SKU</t>
  </si>
  <si>
    <t>Zone 0 Price</t>
  </si>
  <si>
    <t>Theme</t>
  </si>
  <si>
    <t>CASPER CLOUD ONE</t>
  </si>
  <si>
    <t>CASPER ONE</t>
  </si>
  <si>
    <t>CASPER DREAM</t>
  </si>
  <si>
    <t>CASPER SNOW 2.0</t>
  </si>
  <si>
    <t>CASPER SNOW MAX</t>
  </si>
  <si>
    <t>CASPER DREAM MAX</t>
  </si>
  <si>
    <t>CASPER ONYX 2.0</t>
  </si>
  <si>
    <t>SMART MATCH 2.0</t>
  </si>
  <si>
    <t>FUTON</t>
  </si>
  <si>
    <t>ASTRO PILLOW</t>
  </si>
  <si>
    <t>ADAPT 2.0 MEDIUM</t>
  </si>
  <si>
    <t>ADAPT 2.0 MEDIUM HYBRID</t>
  </si>
  <si>
    <t>PROADAPT 2.0 FIRM</t>
  </si>
  <si>
    <t>PROBREEZE 2.0 MEDIUM</t>
  </si>
  <si>
    <t>PROBREEZE 2.0 MEDIUM HYBRID</t>
  </si>
  <si>
    <t>PROADAPT 2.0 MEDIUM</t>
  </si>
  <si>
    <t>PROADAPT 2.0 SOFT</t>
  </si>
  <si>
    <t>PROADAPT 2.0 MEDIUM HYBRID</t>
  </si>
  <si>
    <t>LUXEADAPT 2.0 SOFT</t>
  </si>
  <si>
    <t>LUXEADAPT 2.0 FIRM</t>
  </si>
  <si>
    <t>LUXEADAPT 2.0 MEDIUM HYBRID</t>
  </si>
  <si>
    <t>ACTIVE BREEZE 2.0 MEDIUM HYBRID</t>
  </si>
  <si>
    <t>LUXEBREEZE 2.0 MEDIUM HYBRID</t>
  </si>
  <si>
    <t>LUXEBREEZE 2.0 SOFT</t>
  </si>
  <si>
    <t>LUXEBREEZE 2.0 FIRM</t>
  </si>
  <si>
    <t>TUFT &amp; NEEDLE STITCH TN3.1</t>
  </si>
  <si>
    <t>TUFT &amp; NEEDLE STITCH TN5.1</t>
  </si>
  <si>
    <t>TUFT &amp; NEEDLE STITCH TN7.1</t>
  </si>
  <si>
    <t>TUFT &amp; NEEDLE STITCH TN9.1</t>
  </si>
  <si>
    <t>TUFT &amp; NEEDLE TN1</t>
  </si>
  <si>
    <t>MOLECULE CORE</t>
  </si>
  <si>
    <t>BROAD PEAK MEDIUM HYBRID</t>
  </si>
  <si>
    <t>BAY DREAMER</t>
  </si>
  <si>
    <t>MAKE WAVES</t>
  </si>
  <si>
    <t>SEASIDE SERENITY</t>
  </si>
  <si>
    <t>BALDWIN</t>
  </si>
  <si>
    <t>HAMEL</t>
  </si>
  <si>
    <t>IMPREZA</t>
  </si>
  <si>
    <t>AURORA</t>
  </si>
  <si>
    <t>BRANSTON</t>
  </si>
  <si>
    <t>CARROLTON</t>
  </si>
  <si>
    <t>EVERDEEN</t>
  </si>
  <si>
    <t>FORESTER</t>
  </si>
  <si>
    <t>GLASSBORO</t>
  </si>
  <si>
    <t>DARLINGTON</t>
  </si>
  <si>
    <t>BAHIA</t>
  </si>
  <si>
    <t>HASTINGS</t>
  </si>
  <si>
    <t>JAMAICA</t>
  </si>
  <si>
    <t>KAANAPALI</t>
  </si>
  <si>
    <t>LEDO</t>
  </si>
  <si>
    <t>ALLANTON</t>
  </si>
  <si>
    <t>ADVANCED MEDIUM</t>
  </si>
  <si>
    <t>ADVANCED PLUSH PILLOW TOP</t>
  </si>
  <si>
    <t>CAPERTEE</t>
  </si>
  <si>
    <t>RUBY RANCH</t>
  </si>
  <si>
    <t>WESTWATER</t>
  </si>
  <si>
    <t>ARADA CANYON</t>
  </si>
  <si>
    <t>OCEANA MIST</t>
  </si>
  <si>
    <t>BEAUTYREST HARMONY LUX MEDIUM</t>
  </si>
  <si>
    <t>LEVEL THREE PLUSH</t>
  </si>
  <si>
    <t>LEVEL THREE MEDIUM PILLOWTOP</t>
  </si>
  <si>
    <t>LEVEL FOUR PLUSH PILLOWTOP</t>
  </si>
  <si>
    <t>KERRY PARK</t>
  </si>
  <si>
    <t>BRADFORD HILL</t>
  </si>
  <si>
    <t>NORTHGATE</t>
  </si>
  <si>
    <t>ALBANY FOAM</t>
  </si>
  <si>
    <t>BRIERWOOD</t>
  </si>
  <si>
    <t>ORCHARDSIDE</t>
  </si>
  <si>
    <t>CASTLE ROCK</t>
  </si>
  <si>
    <t>PEBBLEBROOK</t>
  </si>
  <si>
    <t>PENNSBORO</t>
  </si>
  <si>
    <t>SONTERRA HYBRID</t>
  </si>
  <si>
    <t>ALBANY II HYBRID</t>
  </si>
  <si>
    <t>SERIES ONE EXTRA FIRM</t>
  </si>
  <si>
    <t>SERIES ONE MEDIUM</t>
  </si>
  <si>
    <t>SERIES ONE PLUSH</t>
  </si>
  <si>
    <t>SERIES ONE FIRM PILLOW TOP</t>
  </si>
  <si>
    <t>SERIES ONE MEDIUM PILLOW TOP</t>
  </si>
  <si>
    <t>SERIES ONE PLUSH PILLOW TOP</t>
  </si>
  <si>
    <t>SERIES TWO FIRM</t>
  </si>
  <si>
    <t>SERIES TWO MEDIUM</t>
  </si>
  <si>
    <t>SERIES TWO PLUSH</t>
  </si>
  <si>
    <t>SERIES TWO MEDIUM PILLOW TOP</t>
  </si>
  <si>
    <t>SERIES TWO PLUSH PILLOW TOP</t>
  </si>
  <si>
    <t>SERIES THREE EXTRA FIRM</t>
  </si>
  <si>
    <t>SERIES THREE FIRM</t>
  </si>
  <si>
    <t>SERIES THREE MEDIUM</t>
  </si>
  <si>
    <t>SERIES THREE FIRM PILLOW TOP</t>
  </si>
  <si>
    <t>SERIES THREE MEDIUM PILLOW TOP</t>
  </si>
  <si>
    <t>SERIES THREE PLUSH PILLOW TOP</t>
  </si>
  <si>
    <t>SERIES FOUR FIRM PILLOW TOP</t>
  </si>
  <si>
    <t>SERIES FOUR MEDIUM PILLOW TOP</t>
  </si>
  <si>
    <t>SERIES FOUR PLUSH PILLOW TOP</t>
  </si>
  <si>
    <t>SERIES ONE FIRM HYBRID</t>
  </si>
  <si>
    <t>SERIES ONE MEDIUM HYBRID</t>
  </si>
  <si>
    <t>SERIES TWO PLUSH HYBRID</t>
  </si>
  <si>
    <t>SERIES TWO MEDIUM APEX TOP HYBRID</t>
  </si>
  <si>
    <t>SERIES THREE FIRM HYBRID</t>
  </si>
  <si>
    <t>SERIES THREE PLUSH HYBRID</t>
  </si>
  <si>
    <t>SERIES THREE MEDIUM HYBRID</t>
  </si>
  <si>
    <t>SERIES FOUR PLUSH APEX TOP HYBRID</t>
  </si>
  <si>
    <t>ESTATE MEDIUM TT</t>
  </si>
  <si>
    <t>STUDIO MEDIUM TT</t>
  </si>
  <si>
    <t>STUDIO MEDIUM PT</t>
  </si>
  <si>
    <t>ESTATE EXTRA FIRM TT</t>
  </si>
  <si>
    <t>ESTATE FIRM TT</t>
  </si>
  <si>
    <t>ESTATE SOFT TT</t>
  </si>
  <si>
    <t>ESTATE FIRM PT</t>
  </si>
  <si>
    <t>ESTATE SOFT PT</t>
  </si>
  <si>
    <t>LUX ESTATE EXTRA FIRM TT</t>
  </si>
  <si>
    <t>LUX ESTATE MEDIUM TT</t>
  </si>
  <si>
    <t>LUX ESTATE FIRM PT</t>
  </si>
  <si>
    <t>LUX ESTATE SOFT PT</t>
  </si>
  <si>
    <t>LUX ESTATE MEDIUM PT</t>
  </si>
  <si>
    <t>LUX HYBRID SOFT</t>
  </si>
  <si>
    <t>RESERVE MEDIUM TT</t>
  </si>
  <si>
    <t>RESERVE FIRM PT</t>
  </si>
  <si>
    <t>RESERVE SOFT PT</t>
  </si>
  <si>
    <t>LUX ESTATE ELITE</t>
  </si>
  <si>
    <t>LUX HYBRID ELITE MEDIUM</t>
  </si>
  <si>
    <t>HELIX TWILIGHT</t>
  </si>
  <si>
    <t>HELIX MIDNIGHT LUXE</t>
  </si>
  <si>
    <t>HELIX MIDNIGHT ELITE</t>
  </si>
  <si>
    <t>ECOZY KIDS 5</t>
  </si>
  <si>
    <t>ECOZY KIDS 6</t>
  </si>
  <si>
    <t>STARRY BABY</t>
  </si>
  <si>
    <t>BABY BRILLIANCE</t>
  </si>
  <si>
    <t>HESTRIDGE</t>
  </si>
  <si>
    <t>TURNBULL</t>
  </si>
  <si>
    <t>POOLE</t>
  </si>
  <si>
    <t>HAWKE</t>
  </si>
  <si>
    <t>GRENSON</t>
  </si>
  <si>
    <t>TUFT &amp; NEEDLE KIDS GLEE</t>
  </si>
  <si>
    <t>SIMMONS KIDS DELIGHT</t>
  </si>
  <si>
    <t>SIMMONS KIDS GLAD</t>
  </si>
  <si>
    <t>SIMMONS KIDS HAPPY</t>
  </si>
  <si>
    <t>SIMMONS KIDS JOY</t>
  </si>
  <si>
    <t>ALDER</t>
  </si>
  <si>
    <t>CREEKMORE</t>
  </si>
  <si>
    <t>FLOURISH</t>
  </si>
  <si>
    <t>ELARA</t>
  </si>
  <si>
    <t>KESWICK</t>
  </si>
  <si>
    <t>GLASGOW</t>
  </si>
  <si>
    <t>JENISON</t>
  </si>
  <si>
    <t>ESPLANADE</t>
  </si>
  <si>
    <t>TEMPUR-KIDS</t>
  </si>
  <si>
    <t>AIR X PERFORMANCE</t>
  </si>
  <si>
    <t>Z-105</t>
  </si>
  <si>
    <t>Z-305</t>
  </si>
  <si>
    <t>Z-505</t>
  </si>
  <si>
    <t>Z-705</t>
  </si>
  <si>
    <t>Z-905</t>
  </si>
  <si>
    <t>HELIX KIDS</t>
  </si>
  <si>
    <t>BOX SPRING</t>
  </si>
  <si>
    <t>EASE 4.0</t>
  </si>
  <si>
    <t>BUNKIE BOARD</t>
  </si>
  <si>
    <t>EZ-LIFT FOUNDATION</t>
  </si>
  <si>
    <t>BASELOGIC SILVER</t>
  </si>
  <si>
    <t>BASELOGIC PLATINUM</t>
  </si>
  <si>
    <t>TEMPUR-ERGO 3.0</t>
  </si>
  <si>
    <t>TEMPUR-ERGO 3.0 SMART</t>
  </si>
  <si>
    <t>RESERVE DUET</t>
  </si>
  <si>
    <t>TEMPUR-ERGO PROSMART</t>
  </si>
  <si>
    <t>TEMPUR PROSMART AIR</t>
  </si>
  <si>
    <t>RTG-SLEEP 2900</t>
  </si>
  <si>
    <t>RTG-SLEEP 3900</t>
  </si>
  <si>
    <t>RTG-SLEEP 5900</t>
  </si>
  <si>
    <t>TOPAZ</t>
  </si>
  <si>
    <t>IPROTECT PROTECTOR</t>
  </si>
  <si>
    <t>DRI-TEC PROTECTOR</t>
  </si>
  <si>
    <t>VER-TEX PROTECTOR</t>
  </si>
  <si>
    <t>IPROTECT SLEEPER PROTECTOR</t>
  </si>
  <si>
    <t>MATTRESSKIN ENCASEMENT</t>
  </si>
  <si>
    <t>DRI-TEC SLEEPER PROTECTOR</t>
  </si>
  <si>
    <t>IPROTECT PILLOW PROTECTOR</t>
  </si>
  <si>
    <t>FRAMES</t>
  </si>
  <si>
    <t>BEAUTYREST BLACK FOAM PILLOW</t>
  </si>
  <si>
    <t>HDBD BRACKETS</t>
  </si>
  <si>
    <t>ASPEN PILLOW</t>
  </si>
  <si>
    <t>STORM PILLOW</t>
  </si>
  <si>
    <t>NIGHT ICE PILLOW</t>
  </si>
  <si>
    <t>BAMBOO SHEET SET</t>
  </si>
  <si>
    <t>DRI-TEC SHEETS</t>
  </si>
  <si>
    <t>BG BASIC SHEETS</t>
  </si>
  <si>
    <t>HYPER-COTTON SHEETS</t>
  </si>
  <si>
    <t>VER-TEX SHEETS</t>
  </si>
  <si>
    <t>HYPER-LINEN SHEETS</t>
  </si>
  <si>
    <t>DRI-TEC BOX SPRING WRAP</t>
  </si>
  <si>
    <t>HYPER-SILK PERFORMANCE PILLOWCASE</t>
  </si>
  <si>
    <t>CASPER PILLOW</t>
  </si>
  <si>
    <t>CASPER SNOW PILLOW</t>
  </si>
  <si>
    <t>LYOCELL SHEET SET</t>
  </si>
  <si>
    <t>TRUNDLE FRAME</t>
  </si>
  <si>
    <t>STEARNS AND FOSTER LATEX</t>
  </si>
  <si>
    <t>ADAPT PROADJUST</t>
  </si>
  <si>
    <t>ADAPT PRO LO 2.0</t>
  </si>
  <si>
    <t>ADAPT PRO HI 2.0</t>
  </si>
  <si>
    <t>BREEZE PRO-LO 2.0</t>
  </si>
  <si>
    <t>BREEZE PRO-LO 2.0 KG</t>
  </si>
  <si>
    <t>BREEZE PRO-HI 2.0</t>
  </si>
  <si>
    <t>BREEZE PRO-HI 2.0 KG</t>
  </si>
  <si>
    <t>MODAL SHEET SET</t>
  </si>
  <si>
    <t>COOLING DOWN COMPLETE</t>
  </si>
  <si>
    <t>SOFTCELL CHILL SELECT PILLOW</t>
  </si>
  <si>
    <t>FOAM PUFF PILLOW</t>
  </si>
  <si>
    <t>ENGAUGE FRAME</t>
  </si>
  <si>
    <t>BEDS TO GO FOAM PILLOW</t>
  </si>
  <si>
    <t>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</si>
</sst>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Fill="1"/>
    <xf numFmtId="44" fontId="0" fillId="0" borderId="0" xfId="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BAE4-8AC4-44FE-ADB5-965995E1D8A7}">
  <dimension ref="A1:P487"/>
  <sheetViews>
    <sheetView tabSelected="1" topLeftCell="A299" workbookViewId="0">
      <selection activeCell="A486" sqref="A486"/>
    </sheetView>
  </sheetViews>
  <sheetFormatPr defaultRowHeight="14.5" x14ac:dyDescent="0.35"/>
  <cols>
    <col min="1" max="1" width="8.81640625" style="1" bestFit="1" customWidth="1"/>
    <col min="2" max="2" width="29.453125" style="1" bestFit="1" customWidth="1"/>
    <col min="3" max="3" width="52.08984375" style="1" bestFit="1" customWidth="1"/>
    <col min="4" max="5" width="11.453125" style="2" bestFit="1" customWidth="1"/>
    <col min="6" max="6" width="23.7265625" style="1" bestFit="1" customWidth="1"/>
    <col min="7" max="7" width="23.7265625" style="1" customWidth="1"/>
    <col min="8" max="8" width="35.453125" style="1" customWidth="1"/>
    <col min="9" max="9" width="18.1796875" style="1" bestFit="1" customWidth="1"/>
    <col min="10" max="10" width="26" style="1" bestFit="1" customWidth="1"/>
    <col min="11" max="11" width="12.08984375" style="1" bestFit="1" customWidth="1"/>
    <col min="12" max="12" width="13" style="1" bestFit="1" customWidth="1"/>
    <col min="13" max="13" width="16.81640625" style="1" bestFit="1" customWidth="1"/>
    <col min="14" max="14" width="11.6328125" style="1" bestFit="1" customWidth="1"/>
    <col min="15" max="15" width="22.36328125" style="1" bestFit="1" customWidth="1"/>
    <col min="16" max="16" width="8.90625" style="1" bestFit="1" customWidth="1"/>
    <col min="17" max="16384" width="8.7265625" style="1"/>
  </cols>
  <sheetData>
    <row r="1" spans="1:16" x14ac:dyDescent="0.35">
      <c r="A1" s="1" t="s">
        <v>1158</v>
      </c>
      <c r="B1" s="1" t="s">
        <v>1164</v>
      </c>
      <c r="C1" s="1" t="s">
        <v>0</v>
      </c>
      <c r="D1" s="2" t="s">
        <v>1159</v>
      </c>
      <c r="E1" s="2" t="s">
        <v>1</v>
      </c>
      <c r="F1" s="1" t="s">
        <v>2</v>
      </c>
      <c r="G1" s="1" t="s">
        <v>1160</v>
      </c>
      <c r="H1" s="1" t="s">
        <v>3</v>
      </c>
      <c r="I1" s="1" t="s">
        <v>4</v>
      </c>
      <c r="J1" s="1" t="s">
        <v>5</v>
      </c>
      <c r="K1" s="1" t="s">
        <v>6</v>
      </c>
      <c r="L1" s="1" t="s">
        <v>7</v>
      </c>
      <c r="M1" s="1" t="s">
        <v>8</v>
      </c>
      <c r="N1" s="1" t="s">
        <v>9</v>
      </c>
      <c r="O1" s="1" t="s">
        <v>10</v>
      </c>
      <c r="P1" s="1" t="s">
        <v>11</v>
      </c>
    </row>
    <row r="2" spans="1:16" x14ac:dyDescent="0.35">
      <c r="A2" s="1">
        <v>50000543</v>
      </c>
      <c r="B2" s="1" t="str">
        <f>_xlfn.XLOOKUP(A2,Sheet1!A:A,Sheet1!D:D,"")</f>
        <v>CASPER CLOUD ONE</v>
      </c>
      <c r="C2" s="1" t="s">
        <v>12</v>
      </c>
      <c r="D2" s="2">
        <f>_xlfn.XLOOKUP(A2,Sheet1!A:A,Sheet1!C:C,"")</f>
        <v>879</v>
      </c>
      <c r="E2" s="2">
        <v>1099</v>
      </c>
      <c r="F2" s="1" t="s">
        <v>13</v>
      </c>
      <c r="I2" s="1" t="s">
        <v>14</v>
      </c>
      <c r="J2" s="1" t="s">
        <v>15</v>
      </c>
      <c r="K2" s="1" t="s">
        <v>16</v>
      </c>
      <c r="L2" s="1" t="s">
        <v>17</v>
      </c>
      <c r="M2" s="1" t="s">
        <v>18</v>
      </c>
      <c r="N2" s="1" t="s">
        <v>17</v>
      </c>
      <c r="O2" s="1" t="s">
        <v>19</v>
      </c>
      <c r="P2" s="1" t="s">
        <v>20</v>
      </c>
    </row>
    <row r="3" spans="1:16" x14ac:dyDescent="0.35">
      <c r="A3" s="1">
        <v>50000579</v>
      </c>
      <c r="B3" s="1" t="str">
        <f>_xlfn.XLOOKUP(A3,Sheet1!A:A,Sheet1!D:D,"")</f>
        <v>CASPER SNOW 2.0</v>
      </c>
      <c r="C3" s="1" t="s">
        <v>26</v>
      </c>
      <c r="D3" s="2">
        <f>_xlfn.XLOOKUP(A3,Sheet1!A:A,Sheet1!C:C,"")</f>
        <v>1595</v>
      </c>
      <c r="E3" s="2">
        <v>1995</v>
      </c>
      <c r="F3" s="1" t="s">
        <v>13</v>
      </c>
      <c r="H3" s="1" t="s">
        <v>27</v>
      </c>
      <c r="I3" s="1" t="s">
        <v>14</v>
      </c>
      <c r="J3" s="1" t="s">
        <v>15</v>
      </c>
      <c r="K3" s="1" t="s">
        <v>25</v>
      </c>
      <c r="L3" s="1" t="s">
        <v>17</v>
      </c>
      <c r="M3" s="1" t="s">
        <v>18</v>
      </c>
      <c r="N3" s="1" t="s">
        <v>17</v>
      </c>
      <c r="O3" s="1" t="s">
        <v>28</v>
      </c>
      <c r="P3" s="1" t="s">
        <v>20</v>
      </c>
    </row>
    <row r="4" spans="1:16" x14ac:dyDescent="0.35">
      <c r="A4" s="1">
        <v>50000581</v>
      </c>
      <c r="B4" s="1" t="str">
        <f>_xlfn.XLOOKUP(A4,Sheet1!A:A,Sheet1!D:D,"")</f>
        <v>CASPER SNOW MAX</v>
      </c>
      <c r="C4" s="1" t="s">
        <v>29</v>
      </c>
      <c r="D4" s="2">
        <f>_xlfn.XLOOKUP(A4,Sheet1!A:A,Sheet1!C:C,"")</f>
        <v>2595</v>
      </c>
      <c r="E4" s="2">
        <v>3245</v>
      </c>
      <c r="F4" s="1" t="s">
        <v>13</v>
      </c>
      <c r="H4" s="1" t="s">
        <v>30</v>
      </c>
      <c r="I4" s="1" t="s">
        <v>14</v>
      </c>
      <c r="J4" s="1" t="s">
        <v>15</v>
      </c>
      <c r="K4" s="1" t="s">
        <v>25</v>
      </c>
      <c r="L4" s="1" t="s">
        <v>28</v>
      </c>
      <c r="M4" s="1" t="s">
        <v>31</v>
      </c>
      <c r="N4" s="1" t="s">
        <v>17</v>
      </c>
      <c r="O4" s="1" t="s">
        <v>32</v>
      </c>
      <c r="P4" s="1" t="s">
        <v>33</v>
      </c>
    </row>
    <row r="5" spans="1:16" x14ac:dyDescent="0.35">
      <c r="A5" s="1">
        <v>50000682</v>
      </c>
      <c r="B5" s="1" t="str">
        <f>_xlfn.XLOOKUP(A5,Sheet1!A:A,Sheet1!D:D,"")</f>
        <v>CASPER ONYX 2.0</v>
      </c>
      <c r="C5" s="1" t="s">
        <v>35</v>
      </c>
      <c r="D5" s="2">
        <f>_xlfn.XLOOKUP(A5,Sheet1!A:A,Sheet1!C:C,"")</f>
        <v>699</v>
      </c>
      <c r="E5" s="2">
        <v>799</v>
      </c>
      <c r="F5" s="1" t="s">
        <v>13</v>
      </c>
      <c r="G5" s="1" t="s">
        <v>1161</v>
      </c>
      <c r="H5" s="1" t="s">
        <v>36</v>
      </c>
      <c r="I5" s="1" t="s">
        <v>14</v>
      </c>
      <c r="J5" s="1" t="s">
        <v>15</v>
      </c>
      <c r="K5" s="1" t="s">
        <v>16</v>
      </c>
      <c r="L5" s="1" t="s">
        <v>19</v>
      </c>
      <c r="M5" s="1" t="s">
        <v>18</v>
      </c>
      <c r="N5" s="1" t="s">
        <v>19</v>
      </c>
      <c r="O5" s="1" t="s">
        <v>19</v>
      </c>
      <c r="P5" s="1" t="s">
        <v>20</v>
      </c>
    </row>
    <row r="6" spans="1:16" x14ac:dyDescent="0.35">
      <c r="A6" s="1">
        <v>50001773</v>
      </c>
      <c r="B6" s="1" t="str">
        <f>_xlfn.XLOOKUP(A6,Sheet1!A:A,Sheet1!D:D,"")</f>
        <v>SMART MATCH 2.0</v>
      </c>
      <c r="C6" s="1" t="s">
        <v>37</v>
      </c>
      <c r="D6" s="2">
        <f>_xlfn.XLOOKUP(A6,Sheet1!A:A,Sheet1!C:C,"")</f>
        <v>1077</v>
      </c>
      <c r="E6" s="2">
        <v>3199</v>
      </c>
      <c r="F6" s="1" t="s">
        <v>38</v>
      </c>
      <c r="J6" s="1" t="s">
        <v>15</v>
      </c>
      <c r="K6" s="1" t="s">
        <v>39</v>
      </c>
      <c r="L6" s="1" t="s">
        <v>28</v>
      </c>
      <c r="M6" s="1" t="s">
        <v>18</v>
      </c>
      <c r="N6" s="1" t="s">
        <v>28</v>
      </c>
      <c r="O6" s="1" t="s">
        <v>17</v>
      </c>
      <c r="P6" s="1" t="s">
        <v>20</v>
      </c>
    </row>
    <row r="7" spans="1:16" x14ac:dyDescent="0.35">
      <c r="A7" s="1">
        <v>50007460</v>
      </c>
      <c r="B7" s="1" t="str">
        <f>_xlfn.XLOOKUP(A7,Sheet1!A:A,Sheet1!D:D,"")</f>
        <v>ADAPT 2.0 MEDIUM</v>
      </c>
      <c r="C7" s="1" t="s">
        <v>45</v>
      </c>
      <c r="D7" s="2">
        <f>_xlfn.XLOOKUP(A7,Sheet1!A:A,Sheet1!C:C,"")</f>
        <v>1699</v>
      </c>
      <c r="E7" s="2">
        <v>1699</v>
      </c>
      <c r="F7" s="1" t="s">
        <v>46</v>
      </c>
      <c r="H7" s="1" t="s">
        <v>47</v>
      </c>
      <c r="I7" s="1" t="s">
        <v>14</v>
      </c>
      <c r="J7" s="1" t="s">
        <v>15</v>
      </c>
      <c r="K7" s="1" t="s">
        <v>16</v>
      </c>
      <c r="L7" s="1" t="s">
        <v>28</v>
      </c>
      <c r="M7" s="1" t="s">
        <v>18</v>
      </c>
      <c r="N7" s="1" t="s">
        <v>28</v>
      </c>
      <c r="O7" s="1" t="s">
        <v>28</v>
      </c>
      <c r="P7" s="1" t="s">
        <v>20</v>
      </c>
    </row>
    <row r="8" spans="1:16" x14ac:dyDescent="0.35">
      <c r="A8" s="1">
        <v>50007472</v>
      </c>
      <c r="B8" s="1" t="str">
        <f>_xlfn.XLOOKUP(A8,Sheet1!A:A,Sheet1!D:D,"")</f>
        <v>ADAPT 2.0 MEDIUM HYBRID</v>
      </c>
      <c r="C8" s="1" t="s">
        <v>48</v>
      </c>
      <c r="D8" s="2">
        <f>_xlfn.XLOOKUP(A8,Sheet1!A:A,Sheet1!C:C,"")</f>
        <v>1999</v>
      </c>
      <c r="E8" s="2">
        <v>1999</v>
      </c>
      <c r="F8" s="1" t="s">
        <v>46</v>
      </c>
      <c r="H8" s="1" t="s">
        <v>49</v>
      </c>
      <c r="I8" s="1" t="s">
        <v>14</v>
      </c>
      <c r="J8" s="1" t="s">
        <v>15</v>
      </c>
      <c r="K8" s="1" t="s">
        <v>25</v>
      </c>
      <c r="L8" s="1" t="s">
        <v>28</v>
      </c>
      <c r="M8" s="1" t="s">
        <v>18</v>
      </c>
      <c r="N8" s="1" t="s">
        <v>28</v>
      </c>
      <c r="O8" s="1" t="s">
        <v>28</v>
      </c>
      <c r="P8" s="1" t="s">
        <v>20</v>
      </c>
    </row>
    <row r="9" spans="1:16" x14ac:dyDescent="0.35">
      <c r="A9" s="1">
        <v>50007484</v>
      </c>
      <c r="B9" s="1" t="str">
        <f>_xlfn.XLOOKUP(A9,Sheet1!A:A,Sheet1!D:D,"")</f>
        <v>PROADAPT 2.0 FIRM</v>
      </c>
      <c r="C9" s="1" t="s">
        <v>50</v>
      </c>
      <c r="D9" s="2">
        <f>_xlfn.XLOOKUP(A9,Sheet1!A:A,Sheet1!C:C,"")</f>
        <v>2899</v>
      </c>
      <c r="E9" s="2">
        <v>2899</v>
      </c>
      <c r="F9" s="1" t="s">
        <v>46</v>
      </c>
      <c r="H9" s="1" t="s">
        <v>51</v>
      </c>
      <c r="I9" s="1" t="s">
        <v>14</v>
      </c>
      <c r="J9" s="1" t="s">
        <v>15</v>
      </c>
      <c r="K9" s="1" t="s">
        <v>16</v>
      </c>
      <c r="L9" s="1" t="s">
        <v>28</v>
      </c>
      <c r="M9" s="1" t="s">
        <v>22</v>
      </c>
      <c r="N9" s="1" t="s">
        <v>32</v>
      </c>
      <c r="O9" s="1" t="s">
        <v>28</v>
      </c>
      <c r="P9" s="1" t="s">
        <v>23</v>
      </c>
    </row>
    <row r="10" spans="1:16" x14ac:dyDescent="0.35">
      <c r="A10" s="1">
        <v>50007511</v>
      </c>
      <c r="B10" s="1" t="str">
        <f>_xlfn.XLOOKUP(A10,Sheet1!A:A,Sheet1!D:D,"")</f>
        <v>PROBREEZE 2.0 MEDIUM HYBRID</v>
      </c>
      <c r="C10" s="1" t="s">
        <v>53</v>
      </c>
      <c r="D10" s="2">
        <f>_xlfn.XLOOKUP(A10,Sheet1!A:A,Sheet1!C:C,"")</f>
        <v>3899</v>
      </c>
      <c r="E10" s="2">
        <v>3899</v>
      </c>
      <c r="F10" s="1" t="s">
        <v>46</v>
      </c>
      <c r="H10" s="1" t="s">
        <v>54</v>
      </c>
      <c r="I10" s="1" t="s">
        <v>14</v>
      </c>
      <c r="J10" s="1" t="s">
        <v>15</v>
      </c>
      <c r="K10" s="1" t="s">
        <v>25</v>
      </c>
      <c r="L10" s="1" t="s">
        <v>28</v>
      </c>
      <c r="M10" s="1" t="s">
        <v>18</v>
      </c>
      <c r="N10" s="1" t="s">
        <v>32</v>
      </c>
      <c r="O10" s="1" t="s">
        <v>32</v>
      </c>
      <c r="P10" s="1" t="s">
        <v>20</v>
      </c>
    </row>
    <row r="11" spans="1:16" x14ac:dyDescent="0.35">
      <c r="A11" s="1">
        <v>50007523</v>
      </c>
      <c r="B11" s="1" t="str">
        <f>_xlfn.XLOOKUP(A11,Sheet1!A:A,Sheet1!D:D,"")</f>
        <v>PROADAPT 2.0 MEDIUM</v>
      </c>
      <c r="C11" s="1" t="s">
        <v>55</v>
      </c>
      <c r="D11" s="2">
        <f>_xlfn.XLOOKUP(A11,Sheet1!A:A,Sheet1!C:C,"")</f>
        <v>2899</v>
      </c>
      <c r="E11" s="2">
        <v>2899</v>
      </c>
      <c r="F11" s="1" t="s">
        <v>46</v>
      </c>
      <c r="H11" s="1" t="s">
        <v>51</v>
      </c>
      <c r="I11" s="1" t="s">
        <v>14</v>
      </c>
      <c r="J11" s="1" t="s">
        <v>15</v>
      </c>
      <c r="K11" s="1" t="s">
        <v>16</v>
      </c>
      <c r="L11" s="1" t="s">
        <v>28</v>
      </c>
      <c r="M11" s="1" t="s">
        <v>18</v>
      </c>
      <c r="N11" s="1" t="s">
        <v>32</v>
      </c>
      <c r="O11" s="1" t="s">
        <v>28</v>
      </c>
      <c r="P11" s="1" t="s">
        <v>20</v>
      </c>
    </row>
    <row r="12" spans="1:16" x14ac:dyDescent="0.35">
      <c r="A12" s="1">
        <v>50007535</v>
      </c>
      <c r="B12" s="1" t="str">
        <f>_xlfn.XLOOKUP(A12,Sheet1!A:A,Sheet1!D:D,"")</f>
        <v>PROADAPT 2.0 SOFT</v>
      </c>
      <c r="C12" s="1" t="s">
        <v>56</v>
      </c>
      <c r="D12" s="2">
        <f>_xlfn.XLOOKUP(A12,Sheet1!A:A,Sheet1!C:C,"")</f>
        <v>2899</v>
      </c>
      <c r="E12" s="2">
        <v>2899</v>
      </c>
      <c r="F12" s="1" t="s">
        <v>46</v>
      </c>
      <c r="H12" s="1" t="s">
        <v>57</v>
      </c>
      <c r="I12" s="1" t="s">
        <v>14</v>
      </c>
      <c r="J12" s="1" t="s">
        <v>15</v>
      </c>
      <c r="K12" s="1" t="s">
        <v>16</v>
      </c>
      <c r="L12" s="1" t="s">
        <v>32</v>
      </c>
      <c r="M12" s="1" t="s">
        <v>31</v>
      </c>
      <c r="N12" s="1" t="s">
        <v>32</v>
      </c>
      <c r="O12" s="1" t="s">
        <v>28</v>
      </c>
      <c r="P12" s="1" t="s">
        <v>33</v>
      </c>
    </row>
    <row r="13" spans="1:16" x14ac:dyDescent="0.35">
      <c r="A13" s="1">
        <v>50007559</v>
      </c>
      <c r="B13" s="1" t="str">
        <f>_xlfn.XLOOKUP(A13,Sheet1!A:A,Sheet1!D:D,"")</f>
        <v>PROADAPT 2.0 MEDIUM HYBRID</v>
      </c>
      <c r="C13" s="1" t="s">
        <v>58</v>
      </c>
      <c r="D13" s="2">
        <f>_xlfn.XLOOKUP(A13,Sheet1!A:A,Sheet1!C:C,"")</f>
        <v>2899</v>
      </c>
      <c r="E13" s="2">
        <v>2899</v>
      </c>
      <c r="F13" s="1" t="s">
        <v>46</v>
      </c>
      <c r="H13" s="1" t="s">
        <v>59</v>
      </c>
      <c r="I13" s="1" t="s">
        <v>14</v>
      </c>
      <c r="J13" s="1" t="s">
        <v>15</v>
      </c>
      <c r="K13" s="1" t="s">
        <v>25</v>
      </c>
      <c r="L13" s="1" t="s">
        <v>28</v>
      </c>
      <c r="M13" s="1" t="s">
        <v>18</v>
      </c>
      <c r="N13" s="1" t="s">
        <v>32</v>
      </c>
      <c r="O13" s="1" t="s">
        <v>28</v>
      </c>
      <c r="P13" s="1" t="s">
        <v>20</v>
      </c>
    </row>
    <row r="14" spans="1:16" x14ac:dyDescent="0.35">
      <c r="A14" s="1">
        <v>50007561</v>
      </c>
      <c r="B14" s="1" t="str">
        <f>_xlfn.XLOOKUP(A14,Sheet1!A:A,Sheet1!D:D,"")</f>
        <v>LUXEADAPT 2.0 SOFT</v>
      </c>
      <c r="C14" s="1" t="s">
        <v>60</v>
      </c>
      <c r="D14" s="2">
        <f>_xlfn.XLOOKUP(A14,Sheet1!A:A,Sheet1!C:C,"")</f>
        <v>4199</v>
      </c>
      <c r="E14" s="2">
        <v>4199</v>
      </c>
      <c r="F14" s="1" t="s">
        <v>46</v>
      </c>
      <c r="H14" s="1" t="s">
        <v>61</v>
      </c>
      <c r="I14" s="1" t="s">
        <v>14</v>
      </c>
      <c r="J14" s="1" t="s">
        <v>15</v>
      </c>
      <c r="K14" s="1" t="s">
        <v>16</v>
      </c>
      <c r="L14" s="1" t="s">
        <v>32</v>
      </c>
      <c r="M14" s="1" t="s">
        <v>31</v>
      </c>
      <c r="N14" s="1" t="s">
        <v>32</v>
      </c>
      <c r="O14" s="1" t="s">
        <v>28</v>
      </c>
      <c r="P14" s="1" t="s">
        <v>33</v>
      </c>
    </row>
    <row r="15" spans="1:16" x14ac:dyDescent="0.35">
      <c r="A15" s="1">
        <v>50007585</v>
      </c>
      <c r="B15" s="1" t="str">
        <f>_xlfn.XLOOKUP(A15,Sheet1!A:A,Sheet1!D:D,"")</f>
        <v>LUXEADAPT 2.0 MEDIUM HYBRID</v>
      </c>
      <c r="C15" s="1" t="s">
        <v>63</v>
      </c>
      <c r="D15" s="2">
        <f>_xlfn.XLOOKUP(A15,Sheet1!A:A,Sheet1!C:C,"")</f>
        <v>4199</v>
      </c>
      <c r="E15" s="2">
        <v>4199</v>
      </c>
      <c r="F15" s="1" t="s">
        <v>46</v>
      </c>
      <c r="H15" s="1" t="s">
        <v>64</v>
      </c>
      <c r="I15" s="1" t="s">
        <v>14</v>
      </c>
      <c r="J15" s="1" t="s">
        <v>15</v>
      </c>
      <c r="K15" s="1" t="s">
        <v>25</v>
      </c>
      <c r="L15" s="1" t="s">
        <v>32</v>
      </c>
      <c r="M15" s="1" t="s">
        <v>18</v>
      </c>
      <c r="N15" s="1" t="s">
        <v>32</v>
      </c>
      <c r="O15" s="1" t="s">
        <v>28</v>
      </c>
      <c r="P15" s="1" t="s">
        <v>20</v>
      </c>
    </row>
    <row r="16" spans="1:16" x14ac:dyDescent="0.35">
      <c r="A16" s="1">
        <v>50007624</v>
      </c>
      <c r="B16" s="1" t="str">
        <f>_xlfn.XLOOKUP(A16,Sheet1!A:A,Sheet1!D:D,"")</f>
        <v>LUXEBREEZE 2.0 FIRM</v>
      </c>
      <c r="C16" s="1" t="s">
        <v>69</v>
      </c>
      <c r="D16" s="2">
        <f>_xlfn.XLOOKUP(A16,Sheet1!A:A,Sheet1!C:C,"")</f>
        <v>5199</v>
      </c>
      <c r="E16" s="2">
        <v>5199</v>
      </c>
      <c r="F16" s="1" t="s">
        <v>46</v>
      </c>
      <c r="H16" s="1" t="s">
        <v>68</v>
      </c>
      <c r="I16" s="1" t="s">
        <v>14</v>
      </c>
      <c r="J16" s="1" t="s">
        <v>15</v>
      </c>
      <c r="K16" s="1" t="s">
        <v>16</v>
      </c>
      <c r="L16" s="1" t="s">
        <v>32</v>
      </c>
      <c r="M16" s="1" t="s">
        <v>22</v>
      </c>
      <c r="N16" s="1" t="s">
        <v>32</v>
      </c>
      <c r="O16" s="1" t="s">
        <v>32</v>
      </c>
      <c r="P16" s="1" t="s">
        <v>23</v>
      </c>
    </row>
    <row r="17" spans="1:16" x14ac:dyDescent="0.35">
      <c r="A17" s="1">
        <v>50009870</v>
      </c>
      <c r="B17" s="1" t="str">
        <f>_xlfn.XLOOKUP(A17,Sheet1!A:A,Sheet1!D:D,"")</f>
        <v>TUFT &amp; NEEDLE STITCH TN3.1</v>
      </c>
      <c r="C17" s="1" t="s">
        <v>70</v>
      </c>
      <c r="D17" s="2">
        <f>_xlfn.XLOOKUP(A17,Sheet1!A:A,Sheet1!C:C,"")</f>
        <v>797</v>
      </c>
      <c r="E17" s="2">
        <v>999</v>
      </c>
      <c r="F17" s="1" t="s">
        <v>71</v>
      </c>
      <c r="G17" s="1" t="s">
        <v>1161</v>
      </c>
      <c r="I17" s="1" t="s">
        <v>14</v>
      </c>
      <c r="J17" s="1" t="s">
        <v>15</v>
      </c>
      <c r="K17" s="1" t="s">
        <v>25</v>
      </c>
      <c r="L17" s="1" t="s">
        <v>17</v>
      </c>
      <c r="M17" s="1" t="s">
        <v>18</v>
      </c>
      <c r="N17" s="1" t="s">
        <v>17</v>
      </c>
      <c r="O17" s="1" t="s">
        <v>17</v>
      </c>
      <c r="P17" s="1" t="s">
        <v>20</v>
      </c>
    </row>
    <row r="18" spans="1:16" x14ac:dyDescent="0.35">
      <c r="A18" s="1">
        <v>50009882</v>
      </c>
      <c r="B18" s="1" t="str">
        <f>_xlfn.XLOOKUP(A18,Sheet1!A:A,Sheet1!D:D,"")</f>
        <v>TUFT &amp; NEEDLE STITCH TN5.1</v>
      </c>
      <c r="C18" s="1" t="s">
        <v>72</v>
      </c>
      <c r="D18" s="2">
        <f>_xlfn.XLOOKUP(A18,Sheet1!A:A,Sheet1!C:C,"")</f>
        <v>795</v>
      </c>
      <c r="E18" s="2">
        <v>1399</v>
      </c>
      <c r="F18" s="1" t="s">
        <v>71</v>
      </c>
      <c r="G18" s="1" t="s">
        <v>1161</v>
      </c>
      <c r="I18" s="1" t="s">
        <v>14</v>
      </c>
      <c r="J18" s="1" t="s">
        <v>15</v>
      </c>
      <c r="K18" s="1" t="s">
        <v>25</v>
      </c>
      <c r="L18" s="1" t="s">
        <v>28</v>
      </c>
      <c r="M18" s="1" t="s">
        <v>22</v>
      </c>
      <c r="N18" s="1" t="s">
        <v>28</v>
      </c>
      <c r="O18" s="1" t="s">
        <v>28</v>
      </c>
      <c r="P18" s="1" t="s">
        <v>23</v>
      </c>
    </row>
    <row r="19" spans="1:16" x14ac:dyDescent="0.35">
      <c r="A19" s="1">
        <v>50009907</v>
      </c>
      <c r="B19" s="1" t="str">
        <f>_xlfn.XLOOKUP(A19,Sheet1!A:A,Sheet1!D:D,"")</f>
        <v>TUFT &amp; NEEDLE STITCH TN9.1</v>
      </c>
      <c r="C19" s="1" t="s">
        <v>75</v>
      </c>
      <c r="D19" s="2">
        <f>_xlfn.XLOOKUP(A19,Sheet1!A:A,Sheet1!C:C,"")</f>
        <v>1597</v>
      </c>
      <c r="E19" s="2">
        <v>2099</v>
      </c>
      <c r="F19" s="1" t="s">
        <v>71</v>
      </c>
      <c r="G19" s="1" t="s">
        <v>1161</v>
      </c>
      <c r="I19" s="1" t="s">
        <v>14</v>
      </c>
      <c r="J19" s="1" t="s">
        <v>15</v>
      </c>
      <c r="K19" s="1" t="s">
        <v>25</v>
      </c>
      <c r="L19" s="1" t="s">
        <v>32</v>
      </c>
      <c r="M19" s="1" t="s">
        <v>31</v>
      </c>
      <c r="N19" s="1" t="s">
        <v>28</v>
      </c>
      <c r="O19" s="1" t="s">
        <v>28</v>
      </c>
      <c r="P19" s="1" t="s">
        <v>33</v>
      </c>
    </row>
    <row r="20" spans="1:16" x14ac:dyDescent="0.35">
      <c r="A20" s="1">
        <v>50009933</v>
      </c>
      <c r="B20" s="1" t="str">
        <f>_xlfn.XLOOKUP(A20,Sheet1!A:A,Sheet1!D:D,"")</f>
        <v>TUFT &amp; NEEDLE TN1</v>
      </c>
      <c r="C20" s="1" t="s">
        <v>76</v>
      </c>
      <c r="D20" s="2">
        <f>_xlfn.XLOOKUP(A20,Sheet1!A:A,Sheet1!C:C,"")</f>
        <v>577</v>
      </c>
      <c r="E20" s="2">
        <v>699</v>
      </c>
      <c r="F20" s="1" t="s">
        <v>71</v>
      </c>
      <c r="G20" s="1" t="s">
        <v>1161</v>
      </c>
      <c r="H20" s="1" t="s">
        <v>77</v>
      </c>
      <c r="I20" s="1" t="s">
        <v>14</v>
      </c>
      <c r="J20" s="1" t="s">
        <v>15</v>
      </c>
      <c r="K20" s="1" t="s">
        <v>16</v>
      </c>
      <c r="L20" s="1" t="s">
        <v>19</v>
      </c>
      <c r="M20" s="1" t="s">
        <v>22</v>
      </c>
      <c r="N20" s="1" t="s">
        <v>19</v>
      </c>
      <c r="O20" s="1" t="s">
        <v>19</v>
      </c>
      <c r="P20" s="1" t="s">
        <v>23</v>
      </c>
    </row>
    <row r="21" spans="1:16" x14ac:dyDescent="0.35">
      <c r="A21" s="1">
        <v>50010570</v>
      </c>
      <c r="B21" s="1" t="str">
        <f>_xlfn.XLOOKUP(A21,Sheet1!A:A,Sheet1!D:D,"")</f>
        <v>MOLECULE CORE</v>
      </c>
      <c r="C21" s="1" t="s">
        <v>78</v>
      </c>
      <c r="D21" s="2">
        <f>_xlfn.XLOOKUP(A21,Sheet1!A:A,Sheet1!C:C,"")</f>
        <v>447</v>
      </c>
      <c r="E21" s="2">
        <v>949</v>
      </c>
      <c r="F21" s="1" t="s">
        <v>79</v>
      </c>
      <c r="J21" s="1" t="s">
        <v>15</v>
      </c>
      <c r="K21" s="1" t="s">
        <v>16</v>
      </c>
      <c r="L21" s="1" t="s">
        <v>17</v>
      </c>
      <c r="M21" s="1" t="s">
        <v>18</v>
      </c>
      <c r="N21" s="1" t="s">
        <v>17</v>
      </c>
      <c r="O21" s="1" t="s">
        <v>17</v>
      </c>
      <c r="P21" s="1" t="s">
        <v>20</v>
      </c>
    </row>
    <row r="22" spans="1:16" x14ac:dyDescent="0.35">
      <c r="A22" s="1">
        <v>50010671</v>
      </c>
      <c r="B22" s="1" t="str">
        <f>_xlfn.XLOOKUP(A22,Sheet1!A:A,Sheet1!D:D,"")</f>
        <v>BROAD PEAK MEDIUM HYBRID</v>
      </c>
      <c r="C22" s="1" t="s">
        <v>80</v>
      </c>
      <c r="D22" s="2">
        <f>_xlfn.XLOOKUP(A22,Sheet1!A:A,Sheet1!C:C,"")</f>
        <v>695</v>
      </c>
      <c r="E22" s="2">
        <v>849.99</v>
      </c>
      <c r="F22" s="1" t="s">
        <v>81</v>
      </c>
      <c r="G22" s="1" t="s">
        <v>1161</v>
      </c>
      <c r="H22" s="1" t="s">
        <v>82</v>
      </c>
      <c r="I22" s="1" t="s">
        <v>14</v>
      </c>
      <c r="J22" s="1" t="s">
        <v>15</v>
      </c>
      <c r="K22" s="1" t="s">
        <v>25</v>
      </c>
      <c r="L22" s="1" t="s">
        <v>17</v>
      </c>
      <c r="M22" s="1" t="s">
        <v>18</v>
      </c>
      <c r="N22" s="1" t="s">
        <v>17</v>
      </c>
      <c r="O22" s="1" t="s">
        <v>17</v>
      </c>
      <c r="P22" s="1" t="s">
        <v>20</v>
      </c>
    </row>
    <row r="23" spans="1:16" x14ac:dyDescent="0.35">
      <c r="A23" s="1">
        <v>50011053</v>
      </c>
      <c r="B23" s="1" t="str">
        <f>_xlfn.XLOOKUP(A23,Sheet1!A:A,Sheet1!D:D,"")</f>
        <v>BAY DREAMER</v>
      </c>
      <c r="C23" s="1" t="s">
        <v>83</v>
      </c>
      <c r="D23" s="2">
        <f>_xlfn.XLOOKUP(A23,Sheet1!A:A,Sheet1!C:C,"")</f>
        <v>445</v>
      </c>
      <c r="E23" s="2">
        <v>549.99</v>
      </c>
      <c r="F23" s="1" t="s">
        <v>84</v>
      </c>
      <c r="G23" s="1" t="s">
        <v>1161</v>
      </c>
      <c r="I23" s="1" t="s">
        <v>41</v>
      </c>
      <c r="J23" s="1" t="s">
        <v>15</v>
      </c>
      <c r="K23" s="1" t="s">
        <v>39</v>
      </c>
      <c r="L23" s="1" t="s">
        <v>19</v>
      </c>
      <c r="M23" s="1" t="s">
        <v>31</v>
      </c>
      <c r="N23" s="1" t="s">
        <v>28</v>
      </c>
      <c r="O23" s="1" t="s">
        <v>19</v>
      </c>
      <c r="P23" s="1" t="s">
        <v>33</v>
      </c>
    </row>
    <row r="24" spans="1:16" x14ac:dyDescent="0.35">
      <c r="A24" s="1">
        <v>50011065</v>
      </c>
      <c r="B24" s="1" t="str">
        <f>_xlfn.XLOOKUP(A24,Sheet1!A:A,Sheet1!D:D,"")</f>
        <v>MAKE WAVES</v>
      </c>
      <c r="C24" s="1" t="s">
        <v>85</v>
      </c>
      <c r="D24" s="2">
        <f>_xlfn.XLOOKUP(A24,Sheet1!A:A,Sheet1!C:C,"")</f>
        <v>495</v>
      </c>
      <c r="E24" s="2">
        <v>599.99</v>
      </c>
      <c r="F24" s="1" t="s">
        <v>84</v>
      </c>
      <c r="G24" s="1" t="s">
        <v>1161</v>
      </c>
      <c r="I24" s="1" t="s">
        <v>41</v>
      </c>
      <c r="J24" s="1" t="s">
        <v>15</v>
      </c>
      <c r="K24" s="1" t="s">
        <v>25</v>
      </c>
      <c r="L24" s="1" t="s">
        <v>19</v>
      </c>
      <c r="M24" s="1" t="s">
        <v>22</v>
      </c>
      <c r="N24" s="1" t="s">
        <v>28</v>
      </c>
      <c r="O24" s="1" t="s">
        <v>19</v>
      </c>
      <c r="P24" s="1" t="s">
        <v>23</v>
      </c>
    </row>
    <row r="25" spans="1:16" x14ac:dyDescent="0.35">
      <c r="A25" s="1">
        <v>50011077</v>
      </c>
      <c r="B25" s="1" t="str">
        <f>_xlfn.XLOOKUP(A25,Sheet1!A:A,Sheet1!D:D,"")</f>
        <v>SEASIDE SERENITY</v>
      </c>
      <c r="C25" s="1" t="s">
        <v>86</v>
      </c>
      <c r="D25" s="2">
        <f>_xlfn.XLOOKUP(A25,Sheet1!A:A,Sheet1!C:C,"")</f>
        <v>595</v>
      </c>
      <c r="E25" s="2">
        <v>699.99</v>
      </c>
      <c r="F25" s="1" t="s">
        <v>84</v>
      </c>
      <c r="G25" s="1" t="s">
        <v>1161</v>
      </c>
      <c r="I25" s="1" t="s">
        <v>41</v>
      </c>
      <c r="J25" s="1" t="s">
        <v>15</v>
      </c>
      <c r="K25" s="1" t="s">
        <v>39</v>
      </c>
      <c r="L25" s="1" t="s">
        <v>19</v>
      </c>
      <c r="M25" s="1" t="s">
        <v>18</v>
      </c>
      <c r="N25" s="1" t="s">
        <v>28</v>
      </c>
      <c r="O25" s="1" t="s">
        <v>19</v>
      </c>
      <c r="P25" s="1" t="s">
        <v>20</v>
      </c>
    </row>
    <row r="26" spans="1:16" x14ac:dyDescent="0.35">
      <c r="A26" s="1">
        <v>50011344</v>
      </c>
      <c r="B26" s="1" t="str">
        <f>_xlfn.XLOOKUP(A26,Sheet1!A:A,Sheet1!D:D,"")</f>
        <v>FORESTER</v>
      </c>
      <c r="C26" s="1" t="s">
        <v>97</v>
      </c>
      <c r="D26" s="2">
        <f>_xlfn.XLOOKUP(A26,Sheet1!A:A,Sheet1!C:C,"")</f>
        <v>647</v>
      </c>
      <c r="E26" s="2">
        <v>849.99</v>
      </c>
      <c r="F26" s="1" t="s">
        <v>93</v>
      </c>
      <c r="G26" s="1" t="s">
        <v>1161</v>
      </c>
      <c r="I26" s="1" t="s">
        <v>14</v>
      </c>
      <c r="J26" s="1" t="s">
        <v>15</v>
      </c>
      <c r="K26" s="1" t="s">
        <v>39</v>
      </c>
      <c r="L26" s="1" t="s">
        <v>19</v>
      </c>
      <c r="M26" s="1" t="s">
        <v>22</v>
      </c>
      <c r="N26" s="1" t="s">
        <v>17</v>
      </c>
      <c r="O26" s="1" t="s">
        <v>19</v>
      </c>
      <c r="P26" s="1" t="s">
        <v>98</v>
      </c>
    </row>
    <row r="27" spans="1:16" x14ac:dyDescent="0.35">
      <c r="A27" s="1">
        <v>50011368</v>
      </c>
      <c r="B27" s="1" t="str">
        <f>_xlfn.XLOOKUP(A27,Sheet1!A:A,Sheet1!D:D,"")</f>
        <v>DARLINGTON</v>
      </c>
      <c r="C27" s="1" t="s">
        <v>101</v>
      </c>
      <c r="D27" s="2">
        <f>_xlfn.XLOOKUP(A27,Sheet1!A:A,Sheet1!C:C,"")</f>
        <v>547</v>
      </c>
      <c r="E27" s="2">
        <v>649.99</v>
      </c>
      <c r="F27" s="1" t="s">
        <v>93</v>
      </c>
      <c r="G27" s="1" t="s">
        <v>1161</v>
      </c>
      <c r="I27" s="1" t="s">
        <v>14</v>
      </c>
      <c r="J27" s="1" t="s">
        <v>15</v>
      </c>
      <c r="K27" s="1" t="s">
        <v>39</v>
      </c>
      <c r="L27" s="1" t="s">
        <v>19</v>
      </c>
      <c r="M27" s="1" t="s">
        <v>18</v>
      </c>
      <c r="N27" s="1" t="s">
        <v>19</v>
      </c>
      <c r="O27" s="1" t="s">
        <v>17</v>
      </c>
      <c r="P27" s="1" t="s">
        <v>20</v>
      </c>
    </row>
    <row r="28" spans="1:16" x14ac:dyDescent="0.35">
      <c r="A28" s="1">
        <v>50011382</v>
      </c>
      <c r="B28" s="1" t="str">
        <f>_xlfn.XLOOKUP(A28,Sheet1!A:A,Sheet1!D:D,"")</f>
        <v>HASTINGS</v>
      </c>
      <c r="C28" s="1" t="s">
        <v>103</v>
      </c>
      <c r="D28" s="2">
        <f>_xlfn.XLOOKUP(A28,Sheet1!A:A,Sheet1!C:C,"")</f>
        <v>627</v>
      </c>
      <c r="E28" s="2">
        <v>949.99</v>
      </c>
      <c r="F28" s="1" t="s">
        <v>104</v>
      </c>
      <c r="G28" s="1" t="s">
        <v>1161</v>
      </c>
      <c r="J28" s="1" t="s">
        <v>15</v>
      </c>
      <c r="K28" s="1" t="s">
        <v>25</v>
      </c>
      <c r="L28" s="1" t="s">
        <v>19</v>
      </c>
      <c r="M28" s="1" t="s">
        <v>31</v>
      </c>
      <c r="N28" s="1" t="s">
        <v>17</v>
      </c>
      <c r="O28" s="1" t="s">
        <v>17</v>
      </c>
      <c r="P28" s="1" t="s">
        <v>33</v>
      </c>
    </row>
    <row r="29" spans="1:16" x14ac:dyDescent="0.35">
      <c r="A29" s="1">
        <v>50011457</v>
      </c>
      <c r="B29" s="1" t="str">
        <f>_xlfn.XLOOKUP(A29,Sheet1!A:A,Sheet1!D:D,"")</f>
        <v>KAANAPALI</v>
      </c>
      <c r="C29" s="1" t="s">
        <v>106</v>
      </c>
      <c r="D29" s="2">
        <f>_xlfn.XLOOKUP(A29,Sheet1!A:A,Sheet1!C:C,"")</f>
        <v>1249.99</v>
      </c>
      <c r="E29" s="2">
        <v>1249.99</v>
      </c>
      <c r="F29" s="1" t="s">
        <v>104</v>
      </c>
      <c r="G29" s="1" t="s">
        <v>1161</v>
      </c>
      <c r="I29" s="1" t="s">
        <v>14</v>
      </c>
      <c r="J29" s="1" t="s">
        <v>15</v>
      </c>
      <c r="K29" s="1" t="s">
        <v>25</v>
      </c>
      <c r="L29" s="1" t="s">
        <v>17</v>
      </c>
      <c r="M29" s="1" t="s">
        <v>22</v>
      </c>
      <c r="N29" s="1" t="s">
        <v>28</v>
      </c>
      <c r="O29" s="1" t="s">
        <v>17</v>
      </c>
      <c r="P29" s="1" t="s">
        <v>23</v>
      </c>
    </row>
    <row r="30" spans="1:16" x14ac:dyDescent="0.35">
      <c r="A30" s="1">
        <v>50011495</v>
      </c>
      <c r="B30" s="1" t="str">
        <f>_xlfn.XLOOKUP(A30,Sheet1!A:A,Sheet1!D:D,"")</f>
        <v>LEDO</v>
      </c>
      <c r="C30" s="1" t="s">
        <v>107</v>
      </c>
      <c r="D30" s="2">
        <f>_xlfn.XLOOKUP(A30,Sheet1!A:A,Sheet1!C:C,"")</f>
        <v>1449.99</v>
      </c>
      <c r="E30" s="2">
        <v>1449.99</v>
      </c>
      <c r="F30" s="1" t="s">
        <v>104</v>
      </c>
      <c r="G30" s="1" t="s">
        <v>1161</v>
      </c>
      <c r="I30" s="1" t="s">
        <v>14</v>
      </c>
      <c r="J30" s="1" t="s">
        <v>15</v>
      </c>
      <c r="K30" s="1" t="s">
        <v>25</v>
      </c>
      <c r="L30" s="1" t="s">
        <v>28</v>
      </c>
      <c r="M30" s="1" t="s">
        <v>18</v>
      </c>
      <c r="N30" s="1" t="s">
        <v>28</v>
      </c>
      <c r="O30" s="1" t="s">
        <v>17</v>
      </c>
      <c r="P30" s="1" t="s">
        <v>20</v>
      </c>
    </row>
    <row r="31" spans="1:16" x14ac:dyDescent="0.35">
      <c r="A31" s="1">
        <v>50020862</v>
      </c>
      <c r="B31" s="1" t="str">
        <f>_xlfn.XLOOKUP(A31,Sheet1!A:A,Sheet1!D:D,"")</f>
        <v>CAPERTEE</v>
      </c>
      <c r="C31" s="1" t="s">
        <v>111</v>
      </c>
      <c r="D31" s="2">
        <f>_xlfn.XLOOKUP(A31,Sheet1!A:A,Sheet1!C:C,"")</f>
        <v>797</v>
      </c>
      <c r="E31" s="2">
        <v>1099.99</v>
      </c>
      <c r="F31" s="1" t="s">
        <v>112</v>
      </c>
      <c r="G31" s="1" t="s">
        <v>1161</v>
      </c>
      <c r="I31" s="1" t="s">
        <v>14</v>
      </c>
      <c r="J31" s="1" t="s">
        <v>15</v>
      </c>
      <c r="K31" s="1" t="s">
        <v>39</v>
      </c>
      <c r="L31" s="1" t="s">
        <v>17</v>
      </c>
      <c r="M31" s="1" t="s">
        <v>18</v>
      </c>
      <c r="N31" s="1" t="s">
        <v>17</v>
      </c>
      <c r="O31" s="1" t="s">
        <v>17</v>
      </c>
      <c r="P31" s="1" t="s">
        <v>20</v>
      </c>
    </row>
    <row r="32" spans="1:16" x14ac:dyDescent="0.35">
      <c r="A32" s="1">
        <v>50020925</v>
      </c>
      <c r="B32" s="1" t="str">
        <f>_xlfn.XLOOKUP(A32,Sheet1!A:A,Sheet1!D:D,"")</f>
        <v>ARADA CANYON</v>
      </c>
      <c r="C32" s="1" t="s">
        <v>115</v>
      </c>
      <c r="D32" s="2">
        <f>_xlfn.XLOOKUP(A32,Sheet1!A:A,Sheet1!C:C,"")</f>
        <v>1297</v>
      </c>
      <c r="E32" s="2">
        <v>1599.99</v>
      </c>
      <c r="F32" s="1" t="s">
        <v>112</v>
      </c>
      <c r="G32" s="1" t="s">
        <v>1161</v>
      </c>
      <c r="I32" s="1" t="s">
        <v>14</v>
      </c>
      <c r="J32" s="1" t="s">
        <v>15</v>
      </c>
      <c r="K32" s="1" t="s">
        <v>39</v>
      </c>
      <c r="L32" s="1" t="s">
        <v>28</v>
      </c>
      <c r="M32" s="1" t="s">
        <v>31</v>
      </c>
      <c r="N32" s="1" t="s">
        <v>17</v>
      </c>
      <c r="O32" s="1" t="s">
        <v>17</v>
      </c>
      <c r="P32" s="1" t="s">
        <v>33</v>
      </c>
    </row>
    <row r="33" spans="1:16" x14ac:dyDescent="0.35">
      <c r="A33" s="1">
        <v>50022210</v>
      </c>
      <c r="B33" s="1" t="str">
        <f>_xlfn.XLOOKUP(A33,Sheet1!A:A,Sheet1!D:D,"")</f>
        <v>OCEANA MIST</v>
      </c>
      <c r="C33" s="1" t="s">
        <v>116</v>
      </c>
      <c r="D33" s="2">
        <f>_xlfn.XLOOKUP(A33,Sheet1!A:A,Sheet1!C:C,"")</f>
        <v>377</v>
      </c>
      <c r="E33" s="2">
        <v>679.99</v>
      </c>
      <c r="F33" s="1" t="s">
        <v>117</v>
      </c>
      <c r="G33" s="1" t="s">
        <v>1161</v>
      </c>
      <c r="H33" s="1" t="s">
        <v>118</v>
      </c>
      <c r="I33" s="1" t="s">
        <v>14</v>
      </c>
      <c r="J33" s="1" t="s">
        <v>15</v>
      </c>
      <c r="K33" s="1" t="s">
        <v>25</v>
      </c>
      <c r="L33" s="1" t="s">
        <v>19</v>
      </c>
      <c r="M33" s="1" t="s">
        <v>18</v>
      </c>
      <c r="N33" s="1" t="s">
        <v>17</v>
      </c>
      <c r="O33" s="1" t="s">
        <v>19</v>
      </c>
      <c r="P33" s="1" t="s">
        <v>20</v>
      </c>
    </row>
    <row r="34" spans="1:16" x14ac:dyDescent="0.35">
      <c r="A34" s="1">
        <v>50025747</v>
      </c>
      <c r="B34" s="1" t="str">
        <f>_xlfn.XLOOKUP(A34,Sheet1!A:A,Sheet1!D:D,"")</f>
        <v>LEVEL THREE PLUSH</v>
      </c>
      <c r="C34" s="1" t="s">
        <v>120</v>
      </c>
      <c r="D34" s="2">
        <f>_xlfn.XLOOKUP(A34,Sheet1!A:A,Sheet1!C:C,"")</f>
        <v>1329</v>
      </c>
      <c r="E34" s="2">
        <v>1329</v>
      </c>
      <c r="F34" s="1" t="s">
        <v>121</v>
      </c>
      <c r="H34" s="1" t="s">
        <v>122</v>
      </c>
      <c r="I34" s="1" t="s">
        <v>14</v>
      </c>
      <c r="J34" s="1" t="s">
        <v>15</v>
      </c>
      <c r="K34" s="1" t="s">
        <v>39</v>
      </c>
      <c r="L34" s="1" t="s">
        <v>28</v>
      </c>
      <c r="M34" s="1" t="s">
        <v>31</v>
      </c>
      <c r="N34" s="1" t="s">
        <v>28</v>
      </c>
      <c r="O34" s="1" t="s">
        <v>28</v>
      </c>
      <c r="P34" s="1" t="s">
        <v>33</v>
      </c>
    </row>
    <row r="35" spans="1:16" x14ac:dyDescent="0.35">
      <c r="A35" s="1">
        <v>50025759</v>
      </c>
      <c r="B35" s="1" t="str">
        <f>_xlfn.XLOOKUP(A35,Sheet1!A:A,Sheet1!D:D,"")</f>
        <v>LEVEL THREE MEDIUM PILLOWTOP</v>
      </c>
      <c r="C35" s="1" t="s">
        <v>123</v>
      </c>
      <c r="D35" s="2">
        <f>_xlfn.XLOOKUP(A35,Sheet1!A:A,Sheet1!C:C,"")</f>
        <v>1529</v>
      </c>
      <c r="E35" s="2">
        <v>1529</v>
      </c>
      <c r="F35" s="1" t="s">
        <v>121</v>
      </c>
      <c r="H35" s="1" t="s">
        <v>124</v>
      </c>
      <c r="I35" s="1" t="s">
        <v>14</v>
      </c>
      <c r="J35" s="1" t="s">
        <v>15</v>
      </c>
      <c r="K35" s="1" t="s">
        <v>39</v>
      </c>
      <c r="L35" s="1" t="s">
        <v>28</v>
      </c>
      <c r="M35" s="1" t="s">
        <v>18</v>
      </c>
      <c r="N35" s="1" t="s">
        <v>28</v>
      </c>
      <c r="O35" s="1" t="s">
        <v>28</v>
      </c>
      <c r="P35" s="1" t="s">
        <v>20</v>
      </c>
    </row>
    <row r="36" spans="1:16" x14ac:dyDescent="0.35">
      <c r="A36" s="1">
        <v>50025800</v>
      </c>
      <c r="B36" s="1" t="str">
        <f>_xlfn.XLOOKUP(A36,Sheet1!A:A,Sheet1!D:D,"")</f>
        <v>LEVEL FOUR PLUSH PILLOWTOP</v>
      </c>
      <c r="C36" s="1" t="s">
        <v>125</v>
      </c>
      <c r="D36" s="2">
        <f>_xlfn.XLOOKUP(A36,Sheet1!A:A,Sheet1!C:C,"")</f>
        <v>1829</v>
      </c>
      <c r="E36" s="2">
        <v>1829</v>
      </c>
      <c r="F36" s="1" t="s">
        <v>121</v>
      </c>
      <c r="H36" s="1" t="s">
        <v>126</v>
      </c>
      <c r="I36" s="1" t="s">
        <v>14</v>
      </c>
      <c r="J36" s="1" t="s">
        <v>15</v>
      </c>
      <c r="K36" s="1" t="s">
        <v>39</v>
      </c>
      <c r="L36" s="1" t="s">
        <v>32</v>
      </c>
      <c r="M36" s="1" t="s">
        <v>31</v>
      </c>
      <c r="N36" s="1" t="s">
        <v>28</v>
      </c>
      <c r="O36" s="1" t="s">
        <v>28</v>
      </c>
      <c r="P36" s="1" t="s">
        <v>33</v>
      </c>
    </row>
    <row r="37" spans="1:16" x14ac:dyDescent="0.35">
      <c r="A37" s="1">
        <v>50028957</v>
      </c>
      <c r="B37" s="1" t="str">
        <f>_xlfn.XLOOKUP(A37,Sheet1!A:A,Sheet1!D:D,"")</f>
        <v>KERRY PARK</v>
      </c>
      <c r="C37" s="1" t="s">
        <v>127</v>
      </c>
      <c r="D37" s="2">
        <f>_xlfn.XLOOKUP(A37,Sheet1!A:A,Sheet1!C:C,"")</f>
        <v>877</v>
      </c>
      <c r="E37" s="2">
        <v>1479</v>
      </c>
      <c r="F37" s="1" t="s">
        <v>128</v>
      </c>
      <c r="G37" s="1" t="s">
        <v>1161</v>
      </c>
      <c r="I37" s="1" t="s">
        <v>14</v>
      </c>
      <c r="J37" s="1" t="s">
        <v>15</v>
      </c>
      <c r="K37" s="1" t="s">
        <v>39</v>
      </c>
      <c r="L37" s="1" t="s">
        <v>28</v>
      </c>
      <c r="M37" s="1" t="s">
        <v>31</v>
      </c>
      <c r="N37" s="1" t="s">
        <v>17</v>
      </c>
      <c r="O37" s="1" t="s">
        <v>17</v>
      </c>
      <c r="P37" s="1" t="s">
        <v>100</v>
      </c>
    </row>
    <row r="38" spans="1:16" x14ac:dyDescent="0.35">
      <c r="A38" s="1">
        <v>50028969</v>
      </c>
      <c r="B38" s="1" t="str">
        <f>_xlfn.XLOOKUP(A38,Sheet1!A:A,Sheet1!D:D,"")</f>
        <v>BRADFORD HILL</v>
      </c>
      <c r="C38" s="1" t="s">
        <v>129</v>
      </c>
      <c r="D38" s="2">
        <f>_xlfn.XLOOKUP(A38,Sheet1!A:A,Sheet1!C:C,"")</f>
        <v>645</v>
      </c>
      <c r="E38" s="2">
        <v>749</v>
      </c>
      <c r="F38" s="1" t="s">
        <v>128</v>
      </c>
      <c r="G38" s="1" t="s">
        <v>1161</v>
      </c>
      <c r="I38" s="1" t="s">
        <v>14</v>
      </c>
      <c r="J38" s="1" t="s">
        <v>15</v>
      </c>
      <c r="K38" s="1" t="s">
        <v>16</v>
      </c>
      <c r="L38" s="1" t="s">
        <v>17</v>
      </c>
      <c r="M38" s="1" t="s">
        <v>18</v>
      </c>
      <c r="N38" s="1" t="s">
        <v>17</v>
      </c>
      <c r="O38" s="1" t="s">
        <v>19</v>
      </c>
      <c r="P38" s="1" t="s">
        <v>20</v>
      </c>
    </row>
    <row r="39" spans="1:16" x14ac:dyDescent="0.35">
      <c r="A39" s="1">
        <v>50028971</v>
      </c>
      <c r="B39" s="1" t="str">
        <f>_xlfn.XLOOKUP(A39,Sheet1!A:A,Sheet1!D:D,"")</f>
        <v>NORTHGATE</v>
      </c>
      <c r="C39" s="1" t="s">
        <v>130</v>
      </c>
      <c r="D39" s="2">
        <f>_xlfn.XLOOKUP(A39,Sheet1!A:A,Sheet1!C:C,"")</f>
        <v>977</v>
      </c>
      <c r="E39" s="2">
        <v>1779</v>
      </c>
      <c r="F39" s="1" t="s">
        <v>128</v>
      </c>
      <c r="G39" s="1" t="s">
        <v>1161</v>
      </c>
      <c r="J39" s="1" t="s">
        <v>15</v>
      </c>
      <c r="K39" s="1" t="s">
        <v>16</v>
      </c>
      <c r="L39" s="1" t="s">
        <v>28</v>
      </c>
      <c r="M39" s="1" t="s">
        <v>18</v>
      </c>
      <c r="N39" s="1" t="s">
        <v>17</v>
      </c>
      <c r="O39" s="1" t="s">
        <v>17</v>
      </c>
      <c r="P39" s="1" t="s">
        <v>20</v>
      </c>
    </row>
    <row r="40" spans="1:16" x14ac:dyDescent="0.35">
      <c r="A40" s="1">
        <v>50029175</v>
      </c>
      <c r="B40" s="1" t="str">
        <f>_xlfn.XLOOKUP(A40,Sheet1!A:A,Sheet1!D:D,"")</f>
        <v>BRIERWOOD</v>
      </c>
      <c r="C40" s="1" t="s">
        <v>133</v>
      </c>
      <c r="D40" s="2">
        <f>_xlfn.XLOOKUP(A40,Sheet1!A:A,Sheet1!C:C,"")</f>
        <v>597</v>
      </c>
      <c r="E40" s="2">
        <v>719</v>
      </c>
      <c r="F40" s="1" t="s">
        <v>134</v>
      </c>
      <c r="G40" s="1" t="s">
        <v>1161</v>
      </c>
      <c r="H40" s="1" t="s">
        <v>135</v>
      </c>
      <c r="I40" s="1" t="s">
        <v>14</v>
      </c>
      <c r="J40" s="1" t="s">
        <v>15</v>
      </c>
      <c r="K40" s="1" t="s">
        <v>39</v>
      </c>
      <c r="L40" s="1" t="s">
        <v>19</v>
      </c>
      <c r="M40" s="1" t="s">
        <v>18</v>
      </c>
      <c r="N40" s="1" t="s">
        <v>19</v>
      </c>
      <c r="O40" s="1" t="s">
        <v>19</v>
      </c>
      <c r="P40" s="1" t="s">
        <v>20</v>
      </c>
    </row>
    <row r="41" spans="1:16" x14ac:dyDescent="0.35">
      <c r="A41" s="1">
        <v>50029202</v>
      </c>
      <c r="B41" s="1" t="str">
        <f>_xlfn.XLOOKUP(A41,Sheet1!A:A,Sheet1!D:D,"")</f>
        <v>CASTLE ROCK</v>
      </c>
      <c r="C41" s="1" t="s">
        <v>137</v>
      </c>
      <c r="D41" s="2">
        <f>_xlfn.XLOOKUP(A41,Sheet1!A:A,Sheet1!C:C,"")</f>
        <v>917</v>
      </c>
      <c r="E41" s="2">
        <v>1119</v>
      </c>
      <c r="F41" s="1" t="s">
        <v>132</v>
      </c>
      <c r="G41" s="1" t="s">
        <v>1161</v>
      </c>
      <c r="H41" s="1" t="s">
        <v>138</v>
      </c>
      <c r="I41" s="1" t="s">
        <v>14</v>
      </c>
      <c r="J41" s="1" t="s">
        <v>15</v>
      </c>
      <c r="K41" s="1" t="s">
        <v>39</v>
      </c>
      <c r="L41" s="1" t="s">
        <v>17</v>
      </c>
      <c r="M41" s="1" t="s">
        <v>18</v>
      </c>
      <c r="N41" s="1" t="s">
        <v>17</v>
      </c>
      <c r="O41" s="1" t="s">
        <v>19</v>
      </c>
      <c r="P41" s="1" t="s">
        <v>20</v>
      </c>
    </row>
    <row r="42" spans="1:16" x14ac:dyDescent="0.35">
      <c r="A42" s="1">
        <v>50029214</v>
      </c>
      <c r="B42" s="1" t="str">
        <f>_xlfn.XLOOKUP(A42,Sheet1!A:A,Sheet1!D:D,"")</f>
        <v>PEBBLEBROOK</v>
      </c>
      <c r="C42" s="1" t="s">
        <v>139</v>
      </c>
      <c r="D42" s="2">
        <f>_xlfn.XLOOKUP(A42,Sheet1!A:A,Sheet1!C:C,"")</f>
        <v>997</v>
      </c>
      <c r="E42" s="2">
        <v>1219</v>
      </c>
      <c r="F42" s="1" t="s">
        <v>140</v>
      </c>
      <c r="H42" s="1" t="s">
        <v>141</v>
      </c>
      <c r="I42" s="1" t="s">
        <v>14</v>
      </c>
      <c r="J42" s="1" t="s">
        <v>15</v>
      </c>
      <c r="K42" s="1" t="s">
        <v>39</v>
      </c>
      <c r="L42" s="1" t="s">
        <v>17</v>
      </c>
      <c r="M42" s="1" t="s">
        <v>18</v>
      </c>
      <c r="N42" s="1" t="s">
        <v>28</v>
      </c>
      <c r="O42" s="1" t="s">
        <v>17</v>
      </c>
      <c r="P42" s="1" t="s">
        <v>20</v>
      </c>
    </row>
    <row r="43" spans="1:16" x14ac:dyDescent="0.35">
      <c r="A43" s="1">
        <v>50037057</v>
      </c>
      <c r="B43" s="1" t="str">
        <f>_xlfn.XLOOKUP(A43,Sheet1!A:A,Sheet1!D:D,"")</f>
        <v>SERIES ONE EXTRA FIRM</v>
      </c>
      <c r="C43" s="1" t="s">
        <v>145</v>
      </c>
      <c r="D43" s="2">
        <f>_xlfn.XLOOKUP(A43,Sheet1!A:A,Sheet1!C:C,"")</f>
        <v>1549</v>
      </c>
      <c r="E43" s="2">
        <v>1549</v>
      </c>
      <c r="F43" s="1" t="s">
        <v>146</v>
      </c>
      <c r="H43" s="1" t="s">
        <v>147</v>
      </c>
      <c r="I43" s="1" t="s">
        <v>14</v>
      </c>
      <c r="J43" s="1" t="s">
        <v>15</v>
      </c>
      <c r="K43" s="1" t="s">
        <v>39</v>
      </c>
      <c r="L43" s="1" t="s">
        <v>17</v>
      </c>
      <c r="M43" s="1" t="s">
        <v>22</v>
      </c>
      <c r="N43" s="1" t="s">
        <v>32</v>
      </c>
      <c r="O43" s="1" t="s">
        <v>28</v>
      </c>
      <c r="P43" s="1" t="s">
        <v>98</v>
      </c>
    </row>
    <row r="44" spans="1:16" x14ac:dyDescent="0.35">
      <c r="A44" s="1">
        <v>50037134</v>
      </c>
      <c r="B44" s="1" t="str">
        <f>_xlfn.XLOOKUP(A44,Sheet1!A:A,Sheet1!D:D,"")</f>
        <v>SERIES TWO MEDIUM</v>
      </c>
      <c r="C44" s="1" t="s">
        <v>154</v>
      </c>
      <c r="D44" s="2">
        <f>_xlfn.XLOOKUP(A44,Sheet1!A:A,Sheet1!C:C,"")</f>
        <v>2549</v>
      </c>
      <c r="E44" s="2">
        <v>2549</v>
      </c>
      <c r="F44" s="1" t="s">
        <v>146</v>
      </c>
      <c r="H44" s="1" t="s">
        <v>155</v>
      </c>
      <c r="I44" s="1" t="s">
        <v>14</v>
      </c>
      <c r="J44" s="1" t="s">
        <v>15</v>
      </c>
      <c r="K44" s="1" t="s">
        <v>39</v>
      </c>
      <c r="L44" s="1" t="s">
        <v>28</v>
      </c>
      <c r="M44" s="1" t="s">
        <v>18</v>
      </c>
      <c r="N44" s="1" t="s">
        <v>32</v>
      </c>
      <c r="O44" s="1" t="s">
        <v>28</v>
      </c>
      <c r="P44" s="1" t="s">
        <v>20</v>
      </c>
    </row>
    <row r="45" spans="1:16" x14ac:dyDescent="0.35">
      <c r="A45" s="1">
        <v>50037223</v>
      </c>
      <c r="B45" s="1" t="str">
        <f>_xlfn.XLOOKUP(A45,Sheet1!A:A,Sheet1!D:D,"")</f>
        <v>SERIES THREE PLUSH PILLOW TOP</v>
      </c>
      <c r="C45" s="1" t="s">
        <v>165</v>
      </c>
      <c r="D45" s="2">
        <f>_xlfn.XLOOKUP(A45,Sheet1!A:A,Sheet1!C:C,"")</f>
        <v>3649</v>
      </c>
      <c r="E45" s="2">
        <v>3649</v>
      </c>
      <c r="F45" s="1" t="s">
        <v>146</v>
      </c>
      <c r="H45" s="1" t="s">
        <v>163</v>
      </c>
      <c r="I45" s="1" t="s">
        <v>14</v>
      </c>
      <c r="J45" s="1" t="s">
        <v>15</v>
      </c>
      <c r="K45" s="1" t="s">
        <v>39</v>
      </c>
      <c r="L45" s="1" t="s">
        <v>32</v>
      </c>
      <c r="M45" s="1" t="s">
        <v>31</v>
      </c>
      <c r="N45" s="1" t="s">
        <v>32</v>
      </c>
      <c r="O45" s="1" t="s">
        <v>28</v>
      </c>
      <c r="P45" s="1" t="s">
        <v>33</v>
      </c>
    </row>
    <row r="46" spans="1:16" x14ac:dyDescent="0.35">
      <c r="A46" s="1">
        <v>50048036</v>
      </c>
      <c r="B46" s="1" t="str">
        <f>_xlfn.XLOOKUP(A46,Sheet1!A:A,Sheet1!D:D,"")</f>
        <v>ESTATE FIRM TT</v>
      </c>
      <c r="C46" s="1" t="s">
        <v>183</v>
      </c>
      <c r="D46" s="2">
        <f>_xlfn.XLOOKUP(A46,Sheet1!A:A,Sheet1!C:C,"")</f>
        <v>2299</v>
      </c>
      <c r="E46" s="2">
        <v>2299</v>
      </c>
      <c r="F46" s="1" t="s">
        <v>178</v>
      </c>
      <c r="H46" s="1" t="s">
        <v>182</v>
      </c>
      <c r="I46" s="1" t="s">
        <v>14</v>
      </c>
      <c r="J46" s="1" t="s">
        <v>15</v>
      </c>
      <c r="K46" s="1" t="s">
        <v>39</v>
      </c>
      <c r="L46" s="1" t="s">
        <v>17</v>
      </c>
      <c r="M46" s="1" t="s">
        <v>22</v>
      </c>
      <c r="N46" s="1" t="s">
        <v>28</v>
      </c>
      <c r="O46" s="1" t="s">
        <v>17</v>
      </c>
      <c r="P46" s="1" t="s">
        <v>23</v>
      </c>
    </row>
    <row r="47" spans="1:16" x14ac:dyDescent="0.35">
      <c r="A47" s="1">
        <v>50048050</v>
      </c>
      <c r="B47" s="1" t="str">
        <f>_xlfn.XLOOKUP(A47,Sheet1!A:A,Sheet1!D:D,"")</f>
        <v>ESTATE FIRM PT</v>
      </c>
      <c r="C47" s="1" t="s">
        <v>185</v>
      </c>
      <c r="D47" s="2">
        <f>_xlfn.XLOOKUP(A47,Sheet1!A:A,Sheet1!C:C,"")</f>
        <v>2499</v>
      </c>
      <c r="E47" s="2">
        <v>2499</v>
      </c>
      <c r="F47" s="1" t="s">
        <v>178</v>
      </c>
      <c r="H47" s="1" t="s">
        <v>182</v>
      </c>
      <c r="I47" s="1" t="s">
        <v>14</v>
      </c>
      <c r="J47" s="1" t="s">
        <v>15</v>
      </c>
      <c r="K47" s="1" t="s">
        <v>39</v>
      </c>
      <c r="L47" s="1" t="s">
        <v>17</v>
      </c>
      <c r="M47" s="1" t="s">
        <v>22</v>
      </c>
      <c r="N47" s="1" t="s">
        <v>28</v>
      </c>
      <c r="O47" s="1" t="s">
        <v>17</v>
      </c>
      <c r="P47" s="1" t="s">
        <v>23</v>
      </c>
    </row>
    <row r="48" spans="1:16" x14ac:dyDescent="0.35">
      <c r="A48" s="1">
        <v>50048276</v>
      </c>
      <c r="B48" s="1" t="str">
        <f>_xlfn.XLOOKUP(A48,Sheet1!A:A,Sheet1!D:D,"")</f>
        <v>LUX ESTATE ELITE</v>
      </c>
      <c r="C48" s="1" t="s">
        <v>197</v>
      </c>
      <c r="D48" s="2">
        <f>_xlfn.XLOOKUP(A48,Sheet1!A:A,Sheet1!C:C,"")</f>
        <v>4099</v>
      </c>
      <c r="E48" s="2">
        <v>4099</v>
      </c>
      <c r="F48" s="1" t="s">
        <v>178</v>
      </c>
      <c r="H48" s="1" t="s">
        <v>198</v>
      </c>
      <c r="I48" s="1" t="s">
        <v>14</v>
      </c>
      <c r="J48" s="1" t="s">
        <v>15</v>
      </c>
      <c r="K48" s="1" t="s">
        <v>39</v>
      </c>
      <c r="L48" s="1" t="s">
        <v>28</v>
      </c>
      <c r="M48" s="1" t="s">
        <v>18</v>
      </c>
      <c r="N48" s="1" t="s">
        <v>32</v>
      </c>
      <c r="O48" s="1" t="s">
        <v>28</v>
      </c>
      <c r="P48" s="1" t="s">
        <v>20</v>
      </c>
    </row>
    <row r="49" spans="1:16" x14ac:dyDescent="0.35">
      <c r="A49" s="1">
        <v>50070110</v>
      </c>
      <c r="B49" s="1" t="str">
        <f>_xlfn.XLOOKUP(A49,Sheet1!A:A,Sheet1!D:D,"")</f>
        <v>HELIX MIDNIGHT LUXE</v>
      </c>
      <c r="C49" s="1" t="s">
        <v>202</v>
      </c>
      <c r="D49" s="2">
        <f>_xlfn.XLOOKUP(A49,Sheet1!A:A,Sheet1!C:C,"")</f>
        <v>1548</v>
      </c>
      <c r="E49" s="2">
        <v>1935</v>
      </c>
      <c r="F49" s="1" t="s">
        <v>201</v>
      </c>
      <c r="I49" s="1" t="s">
        <v>14</v>
      </c>
      <c r="J49" s="1" t="s">
        <v>15</v>
      </c>
      <c r="K49" s="1" t="s">
        <v>39</v>
      </c>
      <c r="L49" s="1" t="s">
        <v>28</v>
      </c>
      <c r="M49" s="1" t="s">
        <v>18</v>
      </c>
      <c r="N49" s="1" t="s">
        <v>28</v>
      </c>
      <c r="O49" s="1" t="s">
        <v>17</v>
      </c>
      <c r="P49" s="1" t="s">
        <v>20</v>
      </c>
    </row>
    <row r="50" spans="1:16" x14ac:dyDescent="0.35">
      <c r="A50" s="1">
        <v>50070122</v>
      </c>
      <c r="B50" s="1" t="str">
        <f>_xlfn.XLOOKUP(A50,Sheet1!A:A,Sheet1!D:D,"")</f>
        <v>HELIX MIDNIGHT ELITE</v>
      </c>
      <c r="C50" s="1" t="s">
        <v>203</v>
      </c>
      <c r="D50" s="2">
        <f>_xlfn.XLOOKUP(A50,Sheet1!A:A,Sheet1!C:C,"")</f>
        <v>2199</v>
      </c>
      <c r="E50" s="2">
        <v>2748.75</v>
      </c>
      <c r="F50" s="1" t="s">
        <v>201</v>
      </c>
      <c r="I50" s="1" t="s">
        <v>14</v>
      </c>
      <c r="J50" s="1" t="s">
        <v>15</v>
      </c>
      <c r="K50" s="1" t="s">
        <v>39</v>
      </c>
      <c r="L50" s="1" t="s">
        <v>32</v>
      </c>
      <c r="M50" s="1" t="s">
        <v>18</v>
      </c>
      <c r="N50" s="1" t="s">
        <v>28</v>
      </c>
      <c r="O50" s="1" t="s">
        <v>28</v>
      </c>
      <c r="P50" s="1" t="s">
        <v>20</v>
      </c>
    </row>
    <row r="51" spans="1:16" x14ac:dyDescent="0.35">
      <c r="A51" s="1">
        <v>50100545</v>
      </c>
      <c r="B51" s="1" t="str">
        <f>_xlfn.XLOOKUP(A51,Sheet1!A:A,Sheet1!D:D,"")</f>
        <v>CASPER CLOUD ONE</v>
      </c>
      <c r="C51" s="1" t="s">
        <v>209</v>
      </c>
      <c r="D51" s="2">
        <f>_xlfn.XLOOKUP(A51,Sheet1!A:A,Sheet1!C:C,"")</f>
        <v>799</v>
      </c>
      <c r="E51" s="2">
        <v>999</v>
      </c>
      <c r="F51" s="1" t="s">
        <v>13</v>
      </c>
      <c r="I51" s="1" t="s">
        <v>14</v>
      </c>
      <c r="J51" s="1" t="s">
        <v>74</v>
      </c>
      <c r="K51" s="1" t="s">
        <v>16</v>
      </c>
      <c r="L51" s="1" t="s">
        <v>17</v>
      </c>
      <c r="M51" s="1" t="s">
        <v>18</v>
      </c>
      <c r="N51" s="1" t="s">
        <v>17</v>
      </c>
      <c r="O51" s="1" t="s">
        <v>19</v>
      </c>
      <c r="P51" s="1" t="s">
        <v>20</v>
      </c>
    </row>
    <row r="52" spans="1:16" x14ac:dyDescent="0.35">
      <c r="A52" s="1">
        <v>50100684</v>
      </c>
      <c r="B52" s="1" t="str">
        <f>_xlfn.XLOOKUP(A52,Sheet1!A:A,Sheet1!D:D,"")</f>
        <v>CASPER ONYX 2.0</v>
      </c>
      <c r="C52" s="1" t="s">
        <v>212</v>
      </c>
      <c r="D52" s="2">
        <f>_xlfn.XLOOKUP(A52,Sheet1!A:A,Sheet1!C:C,"")</f>
        <v>649</v>
      </c>
      <c r="E52" s="2">
        <v>749</v>
      </c>
      <c r="F52" s="1" t="s">
        <v>13</v>
      </c>
      <c r="G52" s="1" t="s">
        <v>1161</v>
      </c>
      <c r="H52" s="1" t="s">
        <v>213</v>
      </c>
      <c r="I52" s="1" t="s">
        <v>14</v>
      </c>
      <c r="J52" s="1" t="s">
        <v>74</v>
      </c>
      <c r="K52" s="1" t="s">
        <v>16</v>
      </c>
      <c r="L52" s="1" t="s">
        <v>19</v>
      </c>
      <c r="M52" s="1" t="s">
        <v>18</v>
      </c>
      <c r="N52" s="1" t="s">
        <v>19</v>
      </c>
      <c r="O52" s="1" t="s">
        <v>19</v>
      </c>
      <c r="P52" s="1" t="s">
        <v>20</v>
      </c>
    </row>
    <row r="53" spans="1:16" x14ac:dyDescent="0.35">
      <c r="A53" s="1">
        <v>50101775</v>
      </c>
      <c r="B53" s="1" t="str">
        <f>_xlfn.XLOOKUP(A53,Sheet1!A:A,Sheet1!D:D,"")</f>
        <v>SMART MATCH 2.0</v>
      </c>
      <c r="C53" s="1" t="s">
        <v>214</v>
      </c>
      <c r="D53" s="2">
        <f>_xlfn.XLOOKUP(A53,Sheet1!A:A,Sheet1!C:C,"")</f>
        <v>977</v>
      </c>
      <c r="E53" s="2">
        <v>2999</v>
      </c>
      <c r="F53" s="1" t="s">
        <v>38</v>
      </c>
      <c r="J53" s="1" t="s">
        <v>74</v>
      </c>
      <c r="K53" s="1" t="s">
        <v>39</v>
      </c>
      <c r="L53" s="1" t="s">
        <v>28</v>
      </c>
      <c r="M53" s="1" t="s">
        <v>18</v>
      </c>
      <c r="N53" s="1" t="s">
        <v>28</v>
      </c>
      <c r="O53" s="1" t="s">
        <v>17</v>
      </c>
      <c r="P53" s="1" t="s">
        <v>20</v>
      </c>
    </row>
    <row r="54" spans="1:16" x14ac:dyDescent="0.35">
      <c r="A54" s="1">
        <v>50102260</v>
      </c>
      <c r="B54" s="1" t="str">
        <f>_xlfn.XLOOKUP(A54,Sheet1!A:A,Sheet1!D:D,"")</f>
        <v>TURNBULL</v>
      </c>
      <c r="C54" s="1" t="s">
        <v>216</v>
      </c>
      <c r="D54" s="2">
        <f>_xlfn.XLOOKUP(A54,Sheet1!A:A,Sheet1!C:C,"")</f>
        <v>238</v>
      </c>
      <c r="E54" s="2">
        <v>249.99</v>
      </c>
      <c r="F54" s="1" t="s">
        <v>38</v>
      </c>
      <c r="G54" s="1" t="s">
        <v>1161</v>
      </c>
      <c r="H54" s="1" t="s">
        <v>217</v>
      </c>
      <c r="I54" s="1" t="s">
        <v>41</v>
      </c>
      <c r="J54" s="1" t="s">
        <v>74</v>
      </c>
      <c r="K54" s="1" t="s">
        <v>39</v>
      </c>
      <c r="L54" s="1" t="s">
        <v>19</v>
      </c>
      <c r="M54" s="1" t="s">
        <v>18</v>
      </c>
      <c r="N54" s="1" t="s">
        <v>89</v>
      </c>
      <c r="O54" s="1" t="s">
        <v>19</v>
      </c>
      <c r="P54" s="1" t="s">
        <v>20</v>
      </c>
    </row>
    <row r="55" spans="1:16" x14ac:dyDescent="0.35">
      <c r="A55" s="1">
        <v>50102284</v>
      </c>
      <c r="B55" s="1" t="str">
        <f>_xlfn.XLOOKUP(A55,Sheet1!A:A,Sheet1!D:D,"")</f>
        <v>HAWKE</v>
      </c>
      <c r="C55" s="1" t="s">
        <v>219</v>
      </c>
      <c r="D55" s="2">
        <f>_xlfn.XLOOKUP(A55,Sheet1!A:A,Sheet1!C:C,"")</f>
        <v>298</v>
      </c>
      <c r="E55" s="2">
        <v>349.99</v>
      </c>
      <c r="F55" s="1" t="s">
        <v>38</v>
      </c>
      <c r="G55" s="1" t="s">
        <v>1161</v>
      </c>
      <c r="H55" s="1" t="s">
        <v>220</v>
      </c>
      <c r="I55" s="1" t="s">
        <v>41</v>
      </c>
      <c r="J55" s="1" t="s">
        <v>74</v>
      </c>
      <c r="K55" s="1" t="s">
        <v>39</v>
      </c>
      <c r="L55" s="1" t="s">
        <v>17</v>
      </c>
      <c r="M55" s="1" t="s">
        <v>18</v>
      </c>
      <c r="N55" s="1" t="s">
        <v>28</v>
      </c>
      <c r="O55" s="1" t="s">
        <v>19</v>
      </c>
      <c r="P55" s="1" t="s">
        <v>20</v>
      </c>
    </row>
    <row r="56" spans="1:16" x14ac:dyDescent="0.35">
      <c r="A56" s="1">
        <v>50102296</v>
      </c>
      <c r="B56" s="1" t="str">
        <f>_xlfn.XLOOKUP(A56,Sheet1!A:A,Sheet1!D:D,"")</f>
        <v>GRENSON</v>
      </c>
      <c r="C56" s="1" t="s">
        <v>221</v>
      </c>
      <c r="D56" s="2">
        <f>_xlfn.XLOOKUP(A56,Sheet1!A:A,Sheet1!C:C,"")</f>
        <v>377</v>
      </c>
      <c r="E56" s="2">
        <v>449.99</v>
      </c>
      <c r="F56" s="1" t="s">
        <v>38</v>
      </c>
      <c r="G56" s="1" t="s">
        <v>1161</v>
      </c>
      <c r="H56" s="1" t="s">
        <v>222</v>
      </c>
      <c r="I56" s="1" t="s">
        <v>41</v>
      </c>
      <c r="J56" s="1" t="s">
        <v>74</v>
      </c>
      <c r="K56" s="1" t="s">
        <v>16</v>
      </c>
      <c r="L56" s="1" t="s">
        <v>28</v>
      </c>
      <c r="M56" s="1" t="s">
        <v>31</v>
      </c>
      <c r="N56" s="1" t="s">
        <v>17</v>
      </c>
      <c r="O56" s="1" t="s">
        <v>19</v>
      </c>
      <c r="P56" s="1" t="s">
        <v>33</v>
      </c>
    </row>
    <row r="57" spans="1:16" x14ac:dyDescent="0.35">
      <c r="A57" s="1">
        <v>50107462</v>
      </c>
      <c r="B57" s="1" t="str">
        <f>_xlfn.XLOOKUP(A57,Sheet1!A:A,Sheet1!D:D,"")</f>
        <v>ADAPT 2.0 MEDIUM</v>
      </c>
      <c r="C57" s="1" t="s">
        <v>223</v>
      </c>
      <c r="D57" s="2">
        <f>_xlfn.XLOOKUP(A57,Sheet1!A:A,Sheet1!C:C,"")</f>
        <v>1699</v>
      </c>
      <c r="E57" s="2">
        <v>1699</v>
      </c>
      <c r="F57" s="1" t="s">
        <v>46</v>
      </c>
      <c r="H57" s="1" t="s">
        <v>47</v>
      </c>
      <c r="I57" s="1" t="s">
        <v>14</v>
      </c>
      <c r="J57" s="1" t="s">
        <v>74</v>
      </c>
      <c r="K57" s="1" t="s">
        <v>16</v>
      </c>
      <c r="L57" s="1" t="s">
        <v>28</v>
      </c>
      <c r="M57" s="1" t="s">
        <v>18</v>
      </c>
      <c r="N57" s="1" t="s">
        <v>28</v>
      </c>
      <c r="O57" s="1" t="s">
        <v>28</v>
      </c>
      <c r="P57" s="1" t="s">
        <v>20</v>
      </c>
    </row>
    <row r="58" spans="1:16" x14ac:dyDescent="0.35">
      <c r="A58" s="1">
        <v>50107474</v>
      </c>
      <c r="B58" s="1" t="str">
        <f>_xlfn.XLOOKUP(A58,Sheet1!A:A,Sheet1!D:D,"")</f>
        <v>ADAPT 2.0 MEDIUM HYBRID</v>
      </c>
      <c r="C58" s="1" t="s">
        <v>224</v>
      </c>
      <c r="D58" s="2">
        <f>_xlfn.XLOOKUP(A58,Sheet1!A:A,Sheet1!C:C,"")</f>
        <v>1999</v>
      </c>
      <c r="E58" s="2">
        <v>1999</v>
      </c>
      <c r="F58" s="1" t="s">
        <v>46</v>
      </c>
      <c r="H58" s="1" t="s">
        <v>49</v>
      </c>
      <c r="I58" s="1" t="s">
        <v>14</v>
      </c>
      <c r="J58" s="1" t="s">
        <v>74</v>
      </c>
      <c r="K58" s="1" t="s">
        <v>25</v>
      </c>
      <c r="L58" s="1" t="s">
        <v>28</v>
      </c>
      <c r="M58" s="1" t="s">
        <v>18</v>
      </c>
      <c r="N58" s="1" t="s">
        <v>28</v>
      </c>
      <c r="O58" s="1" t="s">
        <v>28</v>
      </c>
      <c r="P58" s="1" t="s">
        <v>20</v>
      </c>
    </row>
    <row r="59" spans="1:16" x14ac:dyDescent="0.35">
      <c r="A59" s="1">
        <v>50107486</v>
      </c>
      <c r="B59" s="1" t="str">
        <f>_xlfn.XLOOKUP(A59,Sheet1!A:A,Sheet1!D:D,"")</f>
        <v>PROADAPT 2.0 FIRM</v>
      </c>
      <c r="C59" s="1" t="s">
        <v>225</v>
      </c>
      <c r="D59" s="2">
        <f>_xlfn.XLOOKUP(A59,Sheet1!A:A,Sheet1!C:C,"")</f>
        <v>2899</v>
      </c>
      <c r="E59" s="2">
        <v>2899</v>
      </c>
      <c r="F59" s="1" t="s">
        <v>46</v>
      </c>
      <c r="H59" s="1" t="s">
        <v>51</v>
      </c>
      <c r="I59" s="1" t="s">
        <v>14</v>
      </c>
      <c r="J59" s="1" t="s">
        <v>74</v>
      </c>
      <c r="K59" s="1" t="s">
        <v>16</v>
      </c>
      <c r="L59" s="1" t="s">
        <v>28</v>
      </c>
      <c r="M59" s="1" t="s">
        <v>22</v>
      </c>
      <c r="N59" s="1" t="s">
        <v>32</v>
      </c>
      <c r="O59" s="1" t="s">
        <v>28</v>
      </c>
      <c r="P59" s="1" t="s">
        <v>23</v>
      </c>
    </row>
    <row r="60" spans="1:16" x14ac:dyDescent="0.35">
      <c r="A60" s="1">
        <v>50107525</v>
      </c>
      <c r="B60" s="1" t="str">
        <f>_xlfn.XLOOKUP(A60,Sheet1!A:A,Sheet1!D:D,"")</f>
        <v>PROADAPT 2.0 MEDIUM</v>
      </c>
      <c r="C60" s="1" t="s">
        <v>226</v>
      </c>
      <c r="D60" s="2">
        <f>_xlfn.XLOOKUP(A60,Sheet1!A:A,Sheet1!C:C,"")</f>
        <v>2899</v>
      </c>
      <c r="E60" s="2">
        <v>2899</v>
      </c>
      <c r="F60" s="1" t="s">
        <v>46</v>
      </c>
      <c r="H60" s="1" t="s">
        <v>51</v>
      </c>
      <c r="I60" s="1" t="s">
        <v>14</v>
      </c>
      <c r="J60" s="1" t="s">
        <v>74</v>
      </c>
      <c r="K60" s="1" t="s">
        <v>16</v>
      </c>
      <c r="L60" s="1" t="s">
        <v>28</v>
      </c>
      <c r="M60" s="1" t="s">
        <v>18</v>
      </c>
      <c r="N60" s="1" t="s">
        <v>32</v>
      </c>
      <c r="O60" s="1" t="s">
        <v>28</v>
      </c>
      <c r="P60" s="1" t="s">
        <v>20</v>
      </c>
    </row>
    <row r="61" spans="1:16" x14ac:dyDescent="0.35">
      <c r="A61" s="1">
        <v>50107537</v>
      </c>
      <c r="B61" s="1" t="str">
        <f>_xlfn.XLOOKUP(A61,Sheet1!A:A,Sheet1!D:D,"")</f>
        <v>PROADAPT 2.0 SOFT</v>
      </c>
      <c r="C61" s="1" t="s">
        <v>227</v>
      </c>
      <c r="D61" s="2">
        <f>_xlfn.XLOOKUP(A61,Sheet1!A:A,Sheet1!C:C,"")</f>
        <v>2899</v>
      </c>
      <c r="E61" s="2">
        <v>2899</v>
      </c>
      <c r="F61" s="1" t="s">
        <v>46</v>
      </c>
      <c r="H61" s="1" t="s">
        <v>57</v>
      </c>
      <c r="I61" s="1" t="s">
        <v>14</v>
      </c>
      <c r="J61" s="1" t="s">
        <v>74</v>
      </c>
      <c r="K61" s="1" t="s">
        <v>16</v>
      </c>
      <c r="L61" s="1" t="s">
        <v>32</v>
      </c>
      <c r="M61" s="1" t="s">
        <v>31</v>
      </c>
      <c r="N61" s="1" t="s">
        <v>32</v>
      </c>
      <c r="O61" s="1" t="s">
        <v>28</v>
      </c>
      <c r="P61" s="1" t="s">
        <v>33</v>
      </c>
    </row>
    <row r="62" spans="1:16" x14ac:dyDescent="0.35">
      <c r="A62" s="1">
        <v>50107551</v>
      </c>
      <c r="B62" s="1" t="str">
        <f>_xlfn.XLOOKUP(A62,Sheet1!A:A,Sheet1!D:D,"")</f>
        <v>PROADAPT 2.0 MEDIUM HYBRID</v>
      </c>
      <c r="C62" s="1" t="s">
        <v>228</v>
      </c>
      <c r="D62" s="2">
        <f>_xlfn.XLOOKUP(A62,Sheet1!A:A,Sheet1!C:C,"")</f>
        <v>2899</v>
      </c>
      <c r="E62" s="2">
        <v>2899</v>
      </c>
      <c r="F62" s="1" t="s">
        <v>46</v>
      </c>
      <c r="H62" s="1" t="s">
        <v>59</v>
      </c>
      <c r="I62" s="1" t="s">
        <v>14</v>
      </c>
      <c r="J62" s="1" t="s">
        <v>74</v>
      </c>
      <c r="K62" s="1" t="s">
        <v>25</v>
      </c>
      <c r="L62" s="1" t="s">
        <v>28</v>
      </c>
      <c r="M62" s="1" t="s">
        <v>18</v>
      </c>
      <c r="N62" s="1" t="s">
        <v>32</v>
      </c>
      <c r="O62" s="1" t="s">
        <v>28</v>
      </c>
      <c r="P62" s="1" t="s">
        <v>20</v>
      </c>
    </row>
    <row r="63" spans="1:16" x14ac:dyDescent="0.35">
      <c r="A63" s="1">
        <v>50109872</v>
      </c>
      <c r="B63" s="1" t="str">
        <f>_xlfn.XLOOKUP(A63,Sheet1!A:A,Sheet1!D:D,"")</f>
        <v>TUFT &amp; NEEDLE STITCH TN3.1</v>
      </c>
      <c r="C63" s="1" t="s">
        <v>229</v>
      </c>
      <c r="D63" s="2">
        <f>_xlfn.XLOOKUP(A63,Sheet1!A:A,Sheet1!C:C,"")</f>
        <v>597</v>
      </c>
      <c r="E63" s="2">
        <v>799</v>
      </c>
      <c r="F63" s="1" t="s">
        <v>71</v>
      </c>
      <c r="G63" s="1" t="s">
        <v>1161</v>
      </c>
      <c r="I63" s="1" t="s">
        <v>14</v>
      </c>
      <c r="J63" s="1" t="s">
        <v>74</v>
      </c>
      <c r="K63" s="1" t="s">
        <v>25</v>
      </c>
      <c r="L63" s="1" t="s">
        <v>17</v>
      </c>
      <c r="M63" s="1" t="s">
        <v>18</v>
      </c>
      <c r="N63" s="1" t="s">
        <v>17</v>
      </c>
      <c r="O63" s="1" t="s">
        <v>17</v>
      </c>
      <c r="P63" s="1" t="s">
        <v>20</v>
      </c>
    </row>
    <row r="64" spans="1:16" x14ac:dyDescent="0.35">
      <c r="A64" s="1">
        <v>50109884</v>
      </c>
      <c r="B64" s="1" t="str">
        <f>_xlfn.XLOOKUP(A64,Sheet1!A:A,Sheet1!D:D,"")</f>
        <v>TUFT &amp; NEEDLE STITCH TN5.1</v>
      </c>
      <c r="C64" s="1" t="s">
        <v>230</v>
      </c>
      <c r="D64" s="2">
        <f>_xlfn.XLOOKUP(A64,Sheet1!A:A,Sheet1!C:C,"")</f>
        <v>695</v>
      </c>
      <c r="E64" s="2">
        <v>1299</v>
      </c>
      <c r="F64" s="1" t="s">
        <v>71</v>
      </c>
      <c r="G64" s="1" t="s">
        <v>1161</v>
      </c>
      <c r="I64" s="1" t="s">
        <v>14</v>
      </c>
      <c r="J64" s="1" t="s">
        <v>74</v>
      </c>
      <c r="K64" s="1" t="s">
        <v>25</v>
      </c>
      <c r="L64" s="1" t="s">
        <v>28</v>
      </c>
      <c r="M64" s="1" t="s">
        <v>22</v>
      </c>
      <c r="N64" s="1" t="s">
        <v>28</v>
      </c>
      <c r="O64" s="1" t="s">
        <v>28</v>
      </c>
      <c r="P64" s="1" t="s">
        <v>23</v>
      </c>
    </row>
    <row r="65" spans="1:16" x14ac:dyDescent="0.35">
      <c r="A65" s="1">
        <v>50109909</v>
      </c>
      <c r="B65" s="1" t="str">
        <f>_xlfn.XLOOKUP(A65,Sheet1!A:A,Sheet1!D:D,"")</f>
        <v>TUFT &amp; NEEDLE STITCH TN9.1</v>
      </c>
      <c r="C65" s="1" t="s">
        <v>232</v>
      </c>
      <c r="D65" s="2">
        <f>_xlfn.XLOOKUP(A65,Sheet1!A:A,Sheet1!C:C,"")</f>
        <v>1497</v>
      </c>
      <c r="E65" s="2">
        <v>1999</v>
      </c>
      <c r="F65" s="1" t="s">
        <v>71</v>
      </c>
      <c r="G65" s="1" t="s">
        <v>1161</v>
      </c>
      <c r="I65" s="1" t="s">
        <v>14</v>
      </c>
      <c r="J65" s="1" t="s">
        <v>74</v>
      </c>
      <c r="K65" s="1" t="s">
        <v>25</v>
      </c>
      <c r="L65" s="1" t="s">
        <v>32</v>
      </c>
      <c r="M65" s="1" t="s">
        <v>31</v>
      </c>
      <c r="N65" s="1" t="s">
        <v>28</v>
      </c>
      <c r="O65" s="1" t="s">
        <v>28</v>
      </c>
      <c r="P65" s="1" t="s">
        <v>33</v>
      </c>
    </row>
    <row r="66" spans="1:16" x14ac:dyDescent="0.35">
      <c r="A66" s="1">
        <v>50109923</v>
      </c>
      <c r="B66" s="1" t="str">
        <f>_xlfn.XLOOKUP(A66,Sheet1!A:A,Sheet1!D:D,"")</f>
        <v>TUFT &amp; NEEDLE KIDS GLEE</v>
      </c>
      <c r="C66" s="1" t="s">
        <v>233</v>
      </c>
      <c r="D66" s="2">
        <f>_xlfn.XLOOKUP(A66,Sheet1!A:A,Sheet1!C:C,"")</f>
        <v>477</v>
      </c>
      <c r="E66" s="2">
        <v>499</v>
      </c>
      <c r="F66" s="1" t="s">
        <v>71</v>
      </c>
      <c r="G66" s="1" t="s">
        <v>1161</v>
      </c>
      <c r="H66" s="1" t="s">
        <v>234</v>
      </c>
      <c r="I66" s="1" t="s">
        <v>41</v>
      </c>
      <c r="J66" s="1" t="s">
        <v>74</v>
      </c>
      <c r="K66" s="1" t="s">
        <v>16</v>
      </c>
      <c r="L66" s="1" t="s">
        <v>19</v>
      </c>
      <c r="M66" s="1" t="s">
        <v>18</v>
      </c>
      <c r="N66" s="1" t="s">
        <v>19</v>
      </c>
      <c r="O66" s="1" t="s">
        <v>19</v>
      </c>
      <c r="P66" s="1" t="s">
        <v>20</v>
      </c>
    </row>
    <row r="67" spans="1:16" x14ac:dyDescent="0.35">
      <c r="A67" s="1">
        <v>50109935</v>
      </c>
      <c r="B67" s="1" t="str">
        <f>_xlfn.XLOOKUP(A67,Sheet1!A:A,Sheet1!D:D,"")</f>
        <v>TUFT &amp; NEEDLE TN1</v>
      </c>
      <c r="C67" s="1" t="s">
        <v>235</v>
      </c>
      <c r="D67" s="2">
        <f>_xlfn.XLOOKUP(A67,Sheet1!A:A,Sheet1!C:C,"")</f>
        <v>527</v>
      </c>
      <c r="E67" s="2">
        <v>649</v>
      </c>
      <c r="F67" s="1" t="s">
        <v>71</v>
      </c>
      <c r="G67" s="1" t="s">
        <v>1161</v>
      </c>
      <c r="H67" s="1" t="s">
        <v>77</v>
      </c>
      <c r="I67" s="1" t="s">
        <v>14</v>
      </c>
      <c r="J67" s="1" t="s">
        <v>74</v>
      </c>
      <c r="K67" s="1" t="s">
        <v>16</v>
      </c>
      <c r="L67" s="1" t="s">
        <v>19</v>
      </c>
      <c r="M67" s="1" t="s">
        <v>22</v>
      </c>
      <c r="N67" s="1" t="s">
        <v>19</v>
      </c>
      <c r="O67" s="1" t="s">
        <v>19</v>
      </c>
      <c r="P67" s="1" t="s">
        <v>23</v>
      </c>
    </row>
    <row r="68" spans="1:16" x14ac:dyDescent="0.35">
      <c r="A68" s="1">
        <v>50110572</v>
      </c>
      <c r="B68" s="1" t="str">
        <f>_xlfn.XLOOKUP(A68,Sheet1!A:A,Sheet1!D:D,"")</f>
        <v>MOLECULE CORE</v>
      </c>
      <c r="C68" s="1" t="s">
        <v>236</v>
      </c>
      <c r="D68" s="2">
        <f>_xlfn.XLOOKUP(A68,Sheet1!A:A,Sheet1!C:C,"")</f>
        <v>397</v>
      </c>
      <c r="E68" s="2">
        <v>899</v>
      </c>
      <c r="F68" s="1" t="s">
        <v>79</v>
      </c>
      <c r="I68" s="1" t="s">
        <v>14</v>
      </c>
      <c r="J68" s="1" t="s">
        <v>74</v>
      </c>
      <c r="K68" s="1" t="s">
        <v>16</v>
      </c>
      <c r="L68" s="1" t="s">
        <v>17</v>
      </c>
      <c r="M68" s="1" t="s">
        <v>18</v>
      </c>
      <c r="N68" s="1" t="s">
        <v>17</v>
      </c>
      <c r="O68" s="1" t="s">
        <v>17</v>
      </c>
      <c r="P68" s="1" t="s">
        <v>20</v>
      </c>
    </row>
    <row r="69" spans="1:16" x14ac:dyDescent="0.35">
      <c r="A69" s="1">
        <v>50110673</v>
      </c>
      <c r="B69" s="1" t="str">
        <f>_xlfn.XLOOKUP(A69,Sheet1!A:A,Sheet1!D:D,"")</f>
        <v>BROAD PEAK MEDIUM HYBRID</v>
      </c>
      <c r="C69" s="1" t="s">
        <v>237</v>
      </c>
      <c r="D69" s="2">
        <f>_xlfn.XLOOKUP(A69,Sheet1!A:A,Sheet1!C:C,"")</f>
        <v>595</v>
      </c>
      <c r="E69" s="2">
        <v>799.99</v>
      </c>
      <c r="F69" s="1" t="s">
        <v>81</v>
      </c>
      <c r="G69" s="1" t="s">
        <v>1161</v>
      </c>
      <c r="H69" s="1" t="s">
        <v>82</v>
      </c>
      <c r="I69" s="1" t="s">
        <v>14</v>
      </c>
      <c r="J69" s="1" t="s">
        <v>74</v>
      </c>
      <c r="K69" s="1" t="s">
        <v>25</v>
      </c>
      <c r="L69" s="1" t="s">
        <v>17</v>
      </c>
      <c r="M69" s="1" t="s">
        <v>18</v>
      </c>
      <c r="N69" s="1" t="s">
        <v>17</v>
      </c>
      <c r="O69" s="1" t="s">
        <v>17</v>
      </c>
      <c r="P69" s="1" t="s">
        <v>20</v>
      </c>
    </row>
    <row r="70" spans="1:16" x14ac:dyDescent="0.35">
      <c r="A70" s="1">
        <v>50110938</v>
      </c>
      <c r="B70" s="1" t="str">
        <f>_xlfn.XLOOKUP(A70,Sheet1!A:A,Sheet1!D:D,"")</f>
        <v>SIMMONS KIDS DELIGHT</v>
      </c>
      <c r="C70" s="1" t="s">
        <v>238</v>
      </c>
      <c r="D70" s="2">
        <f>_xlfn.XLOOKUP(A70,Sheet1!A:A,Sheet1!C:C,"")</f>
        <v>177</v>
      </c>
      <c r="E70" s="2">
        <v>199</v>
      </c>
      <c r="F70" s="1" t="s">
        <v>239</v>
      </c>
      <c r="G70" s="1" t="s">
        <v>1161</v>
      </c>
      <c r="H70" s="1" t="s">
        <v>240</v>
      </c>
      <c r="I70" s="1" t="s">
        <v>41</v>
      </c>
      <c r="J70" s="1" t="s">
        <v>74</v>
      </c>
      <c r="K70" s="1" t="s">
        <v>16</v>
      </c>
      <c r="L70" s="1" t="s">
        <v>89</v>
      </c>
      <c r="M70" s="1" t="s">
        <v>22</v>
      </c>
      <c r="N70" s="1" t="s">
        <v>19</v>
      </c>
      <c r="O70" s="1" t="s">
        <v>19</v>
      </c>
      <c r="P70" s="1" t="s">
        <v>23</v>
      </c>
    </row>
    <row r="71" spans="1:16" x14ac:dyDescent="0.35">
      <c r="A71" s="1">
        <v>50110940</v>
      </c>
      <c r="B71" s="1" t="str">
        <f>_xlfn.XLOOKUP(A71,Sheet1!A:A,Sheet1!D:D,"")</f>
        <v>SIMMONS KIDS GLAD</v>
      </c>
      <c r="C71" s="1" t="s">
        <v>241</v>
      </c>
      <c r="D71" s="2">
        <f>_xlfn.XLOOKUP(A71,Sheet1!A:A,Sheet1!C:C,"")</f>
        <v>277</v>
      </c>
      <c r="E71" s="2">
        <v>299</v>
      </c>
      <c r="F71" s="1" t="s">
        <v>239</v>
      </c>
      <c r="G71" s="1" t="s">
        <v>1161</v>
      </c>
      <c r="H71" s="1" t="s">
        <v>242</v>
      </c>
      <c r="I71" s="1" t="s">
        <v>41</v>
      </c>
      <c r="J71" s="1" t="s">
        <v>74</v>
      </c>
      <c r="K71" s="1" t="s">
        <v>16</v>
      </c>
      <c r="L71" s="1" t="s">
        <v>17</v>
      </c>
      <c r="M71" s="1" t="s">
        <v>18</v>
      </c>
      <c r="N71" s="1" t="s">
        <v>19</v>
      </c>
      <c r="O71" s="1" t="s">
        <v>19</v>
      </c>
      <c r="P71" s="1" t="s">
        <v>20</v>
      </c>
    </row>
    <row r="72" spans="1:16" x14ac:dyDescent="0.35">
      <c r="A72" s="1">
        <v>50110952</v>
      </c>
      <c r="B72" s="1" t="str">
        <f>_xlfn.XLOOKUP(A72,Sheet1!A:A,Sheet1!D:D,"")</f>
        <v>SIMMONS KIDS HAPPY</v>
      </c>
      <c r="C72" s="1" t="s">
        <v>243</v>
      </c>
      <c r="D72" s="2">
        <f>_xlfn.XLOOKUP(A72,Sheet1!A:A,Sheet1!C:C,"")</f>
        <v>327</v>
      </c>
      <c r="E72" s="2">
        <v>349</v>
      </c>
      <c r="F72" s="1" t="s">
        <v>239</v>
      </c>
      <c r="G72" s="1" t="s">
        <v>1161</v>
      </c>
      <c r="H72" s="1" t="s">
        <v>244</v>
      </c>
      <c r="I72" s="1" t="s">
        <v>41</v>
      </c>
      <c r="J72" s="1" t="s">
        <v>74</v>
      </c>
      <c r="K72" s="1" t="s">
        <v>39</v>
      </c>
      <c r="L72" s="1" t="s">
        <v>17</v>
      </c>
      <c r="M72" s="1" t="s">
        <v>22</v>
      </c>
      <c r="N72" s="1" t="s">
        <v>19</v>
      </c>
      <c r="O72" s="1" t="s">
        <v>17</v>
      </c>
      <c r="P72" s="1" t="s">
        <v>23</v>
      </c>
    </row>
    <row r="73" spans="1:16" x14ac:dyDescent="0.35">
      <c r="A73" s="1">
        <v>50111055</v>
      </c>
      <c r="B73" s="1" t="str">
        <f>_xlfn.XLOOKUP(A73,Sheet1!A:A,Sheet1!D:D,"")</f>
        <v>BAY DREAMER</v>
      </c>
      <c r="C73" s="1" t="s">
        <v>246</v>
      </c>
      <c r="D73" s="2">
        <f>_xlfn.XLOOKUP(A73,Sheet1!A:A,Sheet1!C:C,"")</f>
        <v>345</v>
      </c>
      <c r="E73" s="2">
        <v>449.99</v>
      </c>
      <c r="F73" s="1" t="s">
        <v>84</v>
      </c>
      <c r="G73" s="1" t="s">
        <v>1161</v>
      </c>
      <c r="H73" s="1" t="s">
        <v>247</v>
      </c>
      <c r="I73" s="1" t="s">
        <v>41</v>
      </c>
      <c r="J73" s="1" t="s">
        <v>74</v>
      </c>
      <c r="K73" s="1" t="s">
        <v>39</v>
      </c>
      <c r="L73" s="1" t="s">
        <v>19</v>
      </c>
      <c r="M73" s="1" t="s">
        <v>31</v>
      </c>
      <c r="N73" s="1" t="s">
        <v>28</v>
      </c>
      <c r="O73" s="1" t="s">
        <v>19</v>
      </c>
      <c r="P73" s="1" t="s">
        <v>33</v>
      </c>
    </row>
    <row r="74" spans="1:16" x14ac:dyDescent="0.35">
      <c r="A74" s="1">
        <v>50111067</v>
      </c>
      <c r="B74" s="1" t="str">
        <f>_xlfn.XLOOKUP(A74,Sheet1!A:A,Sheet1!D:D,"")</f>
        <v>MAKE WAVES</v>
      </c>
      <c r="C74" s="1" t="s">
        <v>248</v>
      </c>
      <c r="D74" s="2">
        <f>_xlfn.XLOOKUP(A74,Sheet1!A:A,Sheet1!C:C,"")</f>
        <v>395</v>
      </c>
      <c r="E74" s="2">
        <v>499.99</v>
      </c>
      <c r="F74" s="1" t="s">
        <v>84</v>
      </c>
      <c r="G74" s="1" t="s">
        <v>1161</v>
      </c>
      <c r="H74" s="1" t="s">
        <v>249</v>
      </c>
      <c r="I74" s="1" t="s">
        <v>41</v>
      </c>
      <c r="J74" s="1" t="s">
        <v>74</v>
      </c>
      <c r="K74" s="1" t="s">
        <v>25</v>
      </c>
      <c r="L74" s="1" t="s">
        <v>19</v>
      </c>
      <c r="M74" s="1" t="s">
        <v>22</v>
      </c>
      <c r="N74" s="1" t="s">
        <v>28</v>
      </c>
      <c r="O74" s="1" t="s">
        <v>19</v>
      </c>
      <c r="P74" s="1" t="s">
        <v>23</v>
      </c>
    </row>
    <row r="75" spans="1:16" x14ac:dyDescent="0.35">
      <c r="A75" s="1">
        <v>50111079</v>
      </c>
      <c r="B75" s="1" t="str">
        <f>_xlfn.XLOOKUP(A75,Sheet1!A:A,Sheet1!D:D,"")</f>
        <v>SEASIDE SERENITY</v>
      </c>
      <c r="C75" s="1" t="s">
        <v>250</v>
      </c>
      <c r="D75" s="2">
        <f>_xlfn.XLOOKUP(A75,Sheet1!A:A,Sheet1!C:C,"")</f>
        <v>495</v>
      </c>
      <c r="E75" s="2">
        <v>599.99</v>
      </c>
      <c r="F75" s="1" t="s">
        <v>84</v>
      </c>
      <c r="G75" s="1" t="s">
        <v>1161</v>
      </c>
      <c r="H75" s="1" t="s">
        <v>251</v>
      </c>
      <c r="I75" s="1" t="s">
        <v>41</v>
      </c>
      <c r="J75" s="1" t="s">
        <v>74</v>
      </c>
      <c r="K75" s="1" t="s">
        <v>39</v>
      </c>
      <c r="L75" s="1" t="s">
        <v>19</v>
      </c>
      <c r="M75" s="1" t="s">
        <v>18</v>
      </c>
      <c r="N75" s="1" t="s">
        <v>28</v>
      </c>
      <c r="O75" s="1" t="s">
        <v>19</v>
      </c>
      <c r="P75" s="1" t="s">
        <v>20</v>
      </c>
    </row>
    <row r="76" spans="1:16" x14ac:dyDescent="0.35">
      <c r="A76" s="1">
        <v>50111144</v>
      </c>
      <c r="B76" s="1" t="str">
        <f>_xlfn.XLOOKUP(A76,Sheet1!A:A,Sheet1!D:D,"")</f>
        <v>ALDER</v>
      </c>
      <c r="C76" s="1" t="s">
        <v>252</v>
      </c>
      <c r="D76" s="2">
        <f>_xlfn.XLOOKUP(A76,Sheet1!A:A,Sheet1!C:C,"")</f>
        <v>99</v>
      </c>
      <c r="E76" s="2">
        <v>199.99</v>
      </c>
      <c r="F76" s="1" t="s">
        <v>88</v>
      </c>
      <c r="G76" s="1" t="s">
        <v>1161</v>
      </c>
      <c r="H76" s="1" t="s">
        <v>253</v>
      </c>
      <c r="I76" s="1" t="s">
        <v>41</v>
      </c>
      <c r="J76" s="1" t="s">
        <v>74</v>
      </c>
      <c r="K76" s="1" t="s">
        <v>16</v>
      </c>
      <c r="L76" s="1" t="s">
        <v>19</v>
      </c>
      <c r="M76" s="1" t="s">
        <v>18</v>
      </c>
      <c r="N76" s="1" t="s">
        <v>89</v>
      </c>
      <c r="O76" s="1" t="s">
        <v>89</v>
      </c>
      <c r="P76" s="1" t="s">
        <v>20</v>
      </c>
    </row>
    <row r="77" spans="1:16" x14ac:dyDescent="0.35">
      <c r="A77" s="1">
        <v>50111168</v>
      </c>
      <c r="B77" s="1" t="str">
        <f>_xlfn.XLOOKUP(A77,Sheet1!A:A,Sheet1!D:D,"")</f>
        <v>CREEKMORE</v>
      </c>
      <c r="C77" s="1" t="s">
        <v>255</v>
      </c>
      <c r="D77" s="2">
        <f>_xlfn.XLOOKUP(A77,Sheet1!A:A,Sheet1!C:C,"")</f>
        <v>377</v>
      </c>
      <c r="E77" s="2">
        <v>399.99</v>
      </c>
      <c r="F77" s="1" t="s">
        <v>88</v>
      </c>
      <c r="G77" s="1" t="s">
        <v>1161</v>
      </c>
      <c r="H77" s="1" t="s">
        <v>256</v>
      </c>
      <c r="I77" s="1" t="s">
        <v>41</v>
      </c>
      <c r="J77" s="1" t="s">
        <v>74</v>
      </c>
      <c r="K77" s="1" t="s">
        <v>16</v>
      </c>
      <c r="L77" s="1" t="s">
        <v>17</v>
      </c>
      <c r="M77" s="1" t="s">
        <v>31</v>
      </c>
      <c r="N77" s="1" t="s">
        <v>19</v>
      </c>
      <c r="O77" s="1" t="s">
        <v>19</v>
      </c>
      <c r="P77" s="1" t="s">
        <v>33</v>
      </c>
    </row>
    <row r="78" spans="1:16" x14ac:dyDescent="0.35">
      <c r="A78" s="1">
        <v>50111170</v>
      </c>
      <c r="B78" s="1" t="str">
        <f>_xlfn.XLOOKUP(A78,Sheet1!A:A,Sheet1!D:D,"")</f>
        <v>FLOURISH</v>
      </c>
      <c r="C78" s="1" t="s">
        <v>257</v>
      </c>
      <c r="D78" s="2">
        <f>_xlfn.XLOOKUP(A78,Sheet1!A:A,Sheet1!C:C,"")</f>
        <v>427</v>
      </c>
      <c r="E78" s="2">
        <v>449.99</v>
      </c>
      <c r="F78" s="1" t="s">
        <v>88</v>
      </c>
      <c r="G78" s="1" t="s">
        <v>1161</v>
      </c>
      <c r="H78" s="1" t="s">
        <v>258</v>
      </c>
      <c r="I78" s="1" t="s">
        <v>41</v>
      </c>
      <c r="J78" s="1" t="s">
        <v>74</v>
      </c>
      <c r="K78" s="1" t="s">
        <v>16</v>
      </c>
      <c r="L78" s="1" t="s">
        <v>28</v>
      </c>
      <c r="M78" s="1" t="s">
        <v>18</v>
      </c>
      <c r="N78" s="1" t="s">
        <v>89</v>
      </c>
      <c r="O78" s="1" t="s">
        <v>19</v>
      </c>
      <c r="P78" s="1" t="s">
        <v>20</v>
      </c>
    </row>
    <row r="79" spans="1:16" x14ac:dyDescent="0.35">
      <c r="A79" s="1">
        <v>50111233</v>
      </c>
      <c r="B79" s="1" t="str">
        <f>_xlfn.XLOOKUP(A79,Sheet1!A:A,Sheet1!D:D,"")</f>
        <v>HAMEL</v>
      </c>
      <c r="C79" s="1" t="s">
        <v>260</v>
      </c>
      <c r="D79" s="2">
        <f>_xlfn.XLOOKUP(A79,Sheet1!A:A,Sheet1!C:C,"")</f>
        <v>277</v>
      </c>
      <c r="E79" s="2">
        <v>299.99</v>
      </c>
      <c r="F79" s="1" t="s">
        <v>88</v>
      </c>
      <c r="G79" s="1" t="s">
        <v>1161</v>
      </c>
      <c r="H79" s="1" t="s">
        <v>261</v>
      </c>
      <c r="I79" s="1" t="s">
        <v>41</v>
      </c>
      <c r="J79" s="1" t="s">
        <v>74</v>
      </c>
      <c r="K79" s="1" t="s">
        <v>39</v>
      </c>
      <c r="L79" s="1" t="s">
        <v>17</v>
      </c>
      <c r="M79" s="1" t="s">
        <v>31</v>
      </c>
      <c r="N79" s="1" t="s">
        <v>28</v>
      </c>
      <c r="O79" s="1" t="s">
        <v>19</v>
      </c>
      <c r="P79" s="1" t="s">
        <v>33</v>
      </c>
    </row>
    <row r="80" spans="1:16" x14ac:dyDescent="0.35">
      <c r="A80" s="1">
        <v>50111269</v>
      </c>
      <c r="B80" s="1" t="str">
        <f>_xlfn.XLOOKUP(A80,Sheet1!A:A,Sheet1!D:D,"")</f>
        <v>IMPREZA</v>
      </c>
      <c r="C80" s="1" t="s">
        <v>264</v>
      </c>
      <c r="D80" s="2">
        <f>_xlfn.XLOOKUP(A80,Sheet1!A:A,Sheet1!C:C,"")</f>
        <v>327</v>
      </c>
      <c r="E80" s="2">
        <v>349.99</v>
      </c>
      <c r="F80" s="1" t="s">
        <v>88</v>
      </c>
      <c r="G80" s="1" t="s">
        <v>1161</v>
      </c>
      <c r="H80" s="1" t="s">
        <v>265</v>
      </c>
      <c r="I80" s="1" t="s">
        <v>41</v>
      </c>
      <c r="J80" s="1" t="s">
        <v>74</v>
      </c>
      <c r="K80" s="1" t="s">
        <v>39</v>
      </c>
      <c r="L80" s="1" t="s">
        <v>17</v>
      </c>
      <c r="M80" s="1" t="s">
        <v>18</v>
      </c>
      <c r="N80" s="1" t="s">
        <v>17</v>
      </c>
      <c r="O80" s="1" t="s">
        <v>89</v>
      </c>
      <c r="P80" s="1" t="s">
        <v>20</v>
      </c>
    </row>
    <row r="81" spans="1:16" x14ac:dyDescent="0.35">
      <c r="A81" s="1">
        <v>50111346</v>
      </c>
      <c r="B81" s="1" t="str">
        <f>_xlfn.XLOOKUP(A81,Sheet1!A:A,Sheet1!D:D,"")</f>
        <v>FORESTER</v>
      </c>
      <c r="C81" s="1" t="s">
        <v>271</v>
      </c>
      <c r="D81" s="2">
        <f>_xlfn.XLOOKUP(A81,Sheet1!A:A,Sheet1!C:C,"")</f>
        <v>597</v>
      </c>
      <c r="E81" s="2">
        <v>799.99</v>
      </c>
      <c r="F81" s="1" t="s">
        <v>93</v>
      </c>
      <c r="G81" s="1" t="s">
        <v>1161</v>
      </c>
      <c r="I81" s="1" t="s">
        <v>14</v>
      </c>
      <c r="J81" s="1" t="s">
        <v>74</v>
      </c>
      <c r="K81" s="1" t="s">
        <v>39</v>
      </c>
      <c r="L81" s="1" t="s">
        <v>19</v>
      </c>
      <c r="M81" s="1" t="s">
        <v>22</v>
      </c>
      <c r="N81" s="1" t="s">
        <v>17</v>
      </c>
      <c r="O81" s="1" t="s">
        <v>19</v>
      </c>
      <c r="P81" s="1" t="s">
        <v>98</v>
      </c>
    </row>
    <row r="82" spans="1:16" x14ac:dyDescent="0.35">
      <c r="A82" s="1">
        <v>50111360</v>
      </c>
      <c r="B82" s="1" t="str">
        <f>_xlfn.XLOOKUP(A82,Sheet1!A:A,Sheet1!D:D,"")</f>
        <v>DARLINGTON</v>
      </c>
      <c r="C82" s="1" t="s">
        <v>272</v>
      </c>
      <c r="D82" s="2">
        <f>_xlfn.XLOOKUP(A82,Sheet1!A:A,Sheet1!C:C,"")</f>
        <v>497</v>
      </c>
      <c r="E82" s="2">
        <v>599.99</v>
      </c>
      <c r="F82" s="1" t="s">
        <v>93</v>
      </c>
      <c r="G82" s="1" t="s">
        <v>1161</v>
      </c>
      <c r="I82" s="1" t="s">
        <v>14</v>
      </c>
      <c r="J82" s="1" t="s">
        <v>74</v>
      </c>
      <c r="K82" s="1" t="s">
        <v>39</v>
      </c>
      <c r="L82" s="1" t="s">
        <v>19</v>
      </c>
      <c r="M82" s="1" t="s">
        <v>18</v>
      </c>
      <c r="N82" s="1" t="s">
        <v>19</v>
      </c>
      <c r="O82" s="1" t="s">
        <v>17</v>
      </c>
      <c r="P82" s="1" t="s">
        <v>20</v>
      </c>
    </row>
    <row r="83" spans="1:16" x14ac:dyDescent="0.35">
      <c r="A83" s="1">
        <v>50122212</v>
      </c>
      <c r="B83" s="1" t="str">
        <f>_xlfn.XLOOKUP(A83,Sheet1!A:A,Sheet1!D:D,"")</f>
        <v>OCEANA MIST</v>
      </c>
      <c r="C83" s="1" t="s">
        <v>276</v>
      </c>
      <c r="D83" s="2">
        <f>_xlfn.XLOOKUP(A83,Sheet1!A:A,Sheet1!C:C,"")</f>
        <v>347</v>
      </c>
      <c r="E83" s="2">
        <v>649.99</v>
      </c>
      <c r="F83" s="1" t="s">
        <v>117</v>
      </c>
      <c r="G83" s="1" t="s">
        <v>1161</v>
      </c>
      <c r="H83" s="1" t="s">
        <v>118</v>
      </c>
      <c r="I83" s="1" t="s">
        <v>14</v>
      </c>
      <c r="J83" s="1" t="s">
        <v>74</v>
      </c>
      <c r="K83" s="1" t="s">
        <v>25</v>
      </c>
      <c r="L83" s="1" t="s">
        <v>19</v>
      </c>
      <c r="M83" s="1" t="s">
        <v>18</v>
      </c>
      <c r="N83" s="1" t="s">
        <v>17</v>
      </c>
      <c r="O83" s="1" t="s">
        <v>19</v>
      </c>
      <c r="P83" s="1" t="s">
        <v>20</v>
      </c>
    </row>
    <row r="84" spans="1:16" x14ac:dyDescent="0.35">
      <c r="A84" s="1">
        <v>50125749</v>
      </c>
      <c r="B84" s="1" t="str">
        <f>_xlfn.XLOOKUP(A84,Sheet1!A:A,Sheet1!D:D,"")</f>
        <v>LEVEL THREE PLUSH</v>
      </c>
      <c r="C84" s="1" t="s">
        <v>278</v>
      </c>
      <c r="D84" s="2">
        <f>_xlfn.XLOOKUP(A84,Sheet1!A:A,Sheet1!C:C,"")</f>
        <v>1299</v>
      </c>
      <c r="E84" s="2">
        <v>1299</v>
      </c>
      <c r="F84" s="1" t="s">
        <v>121</v>
      </c>
      <c r="H84" s="1" t="s">
        <v>122</v>
      </c>
      <c r="I84" s="1" t="s">
        <v>14</v>
      </c>
      <c r="J84" s="1" t="s">
        <v>74</v>
      </c>
      <c r="K84" s="1" t="s">
        <v>39</v>
      </c>
      <c r="L84" s="1" t="s">
        <v>28</v>
      </c>
      <c r="M84" s="1" t="s">
        <v>31</v>
      </c>
      <c r="N84" s="1" t="s">
        <v>28</v>
      </c>
      <c r="O84" s="1" t="s">
        <v>28</v>
      </c>
      <c r="P84" s="1" t="s">
        <v>33</v>
      </c>
    </row>
    <row r="85" spans="1:16" x14ac:dyDescent="0.35">
      <c r="A85" s="1">
        <v>50125751</v>
      </c>
      <c r="B85" s="1" t="str">
        <f>_xlfn.XLOOKUP(A85,Sheet1!A:A,Sheet1!D:D,"")</f>
        <v>LEVEL THREE MEDIUM PILLOWTOP</v>
      </c>
      <c r="C85" s="1" t="s">
        <v>279</v>
      </c>
      <c r="D85" s="2">
        <f>_xlfn.XLOOKUP(A85,Sheet1!A:A,Sheet1!C:C,"")</f>
        <v>1499</v>
      </c>
      <c r="E85" s="2">
        <v>1499</v>
      </c>
      <c r="F85" s="1" t="s">
        <v>121</v>
      </c>
      <c r="H85" s="1" t="s">
        <v>124</v>
      </c>
      <c r="I85" s="1" t="s">
        <v>14</v>
      </c>
      <c r="J85" s="1" t="s">
        <v>74</v>
      </c>
      <c r="K85" s="1" t="s">
        <v>39</v>
      </c>
      <c r="L85" s="1" t="s">
        <v>28</v>
      </c>
      <c r="M85" s="1" t="s">
        <v>18</v>
      </c>
      <c r="N85" s="1" t="s">
        <v>28</v>
      </c>
      <c r="O85" s="1" t="s">
        <v>28</v>
      </c>
      <c r="P85" s="1" t="s">
        <v>20</v>
      </c>
    </row>
    <row r="86" spans="1:16" x14ac:dyDescent="0.35">
      <c r="A86" s="1">
        <v>50125802</v>
      </c>
      <c r="B86" s="1" t="str">
        <f>_xlfn.XLOOKUP(A86,Sheet1!A:A,Sheet1!D:D,"")</f>
        <v>LEVEL FOUR PLUSH PILLOWTOP</v>
      </c>
      <c r="C86" s="1" t="s">
        <v>280</v>
      </c>
      <c r="D86" s="2">
        <f>_xlfn.XLOOKUP(A86,Sheet1!A:A,Sheet1!C:C,"")</f>
        <v>1799</v>
      </c>
      <c r="E86" s="2">
        <v>1799</v>
      </c>
      <c r="F86" s="1" t="s">
        <v>121</v>
      </c>
      <c r="H86" s="1" t="s">
        <v>126</v>
      </c>
      <c r="I86" s="1" t="s">
        <v>14</v>
      </c>
      <c r="J86" s="1" t="s">
        <v>74</v>
      </c>
      <c r="K86" s="1" t="s">
        <v>39</v>
      </c>
      <c r="L86" s="1" t="s">
        <v>32</v>
      </c>
      <c r="M86" s="1" t="s">
        <v>31</v>
      </c>
      <c r="N86" s="1" t="s">
        <v>28</v>
      </c>
      <c r="O86" s="1" t="s">
        <v>28</v>
      </c>
      <c r="P86" s="1" t="s">
        <v>33</v>
      </c>
    </row>
    <row r="87" spans="1:16" x14ac:dyDescent="0.35">
      <c r="A87" s="1">
        <v>50128959</v>
      </c>
      <c r="B87" s="1" t="str">
        <f>_xlfn.XLOOKUP(A87,Sheet1!A:A,Sheet1!D:D,"")</f>
        <v>KERRY PARK</v>
      </c>
      <c r="C87" s="1" t="s">
        <v>281</v>
      </c>
      <c r="D87" s="2">
        <f>_xlfn.XLOOKUP(A87,Sheet1!A:A,Sheet1!C:C,"")</f>
        <v>797</v>
      </c>
      <c r="E87" s="2">
        <v>1399</v>
      </c>
      <c r="F87" s="1" t="s">
        <v>128</v>
      </c>
      <c r="G87" s="1" t="s">
        <v>1161</v>
      </c>
      <c r="I87" s="1" t="s">
        <v>14</v>
      </c>
      <c r="J87" s="1" t="s">
        <v>74</v>
      </c>
      <c r="K87" s="1" t="s">
        <v>39</v>
      </c>
      <c r="L87" s="1" t="s">
        <v>28</v>
      </c>
      <c r="M87" s="1" t="s">
        <v>31</v>
      </c>
      <c r="N87" s="1" t="s">
        <v>17</v>
      </c>
      <c r="O87" s="1" t="s">
        <v>17</v>
      </c>
      <c r="P87" s="1" t="s">
        <v>100</v>
      </c>
    </row>
    <row r="88" spans="1:16" x14ac:dyDescent="0.35">
      <c r="A88" s="1">
        <v>50128961</v>
      </c>
      <c r="B88" s="1" t="str">
        <f>_xlfn.XLOOKUP(A88,Sheet1!A:A,Sheet1!D:D,"")</f>
        <v>BRADFORD HILL</v>
      </c>
      <c r="C88" s="1" t="s">
        <v>282</v>
      </c>
      <c r="D88" s="2">
        <f>_xlfn.XLOOKUP(A88,Sheet1!A:A,Sheet1!C:C,"")</f>
        <v>595</v>
      </c>
      <c r="E88" s="2">
        <v>699</v>
      </c>
      <c r="F88" s="1" t="s">
        <v>128</v>
      </c>
      <c r="G88" s="1" t="s">
        <v>1161</v>
      </c>
      <c r="I88" s="1" t="s">
        <v>14</v>
      </c>
      <c r="J88" s="1" t="s">
        <v>74</v>
      </c>
      <c r="K88" s="1" t="s">
        <v>16</v>
      </c>
      <c r="L88" s="1" t="s">
        <v>17</v>
      </c>
      <c r="M88" s="1" t="s">
        <v>18</v>
      </c>
      <c r="N88" s="1" t="s">
        <v>17</v>
      </c>
      <c r="O88" s="1" t="s">
        <v>19</v>
      </c>
      <c r="P88" s="1" t="s">
        <v>20</v>
      </c>
    </row>
    <row r="89" spans="1:16" x14ac:dyDescent="0.35">
      <c r="A89" s="1">
        <v>50129177</v>
      </c>
      <c r="B89" s="1" t="str">
        <f>_xlfn.XLOOKUP(A89,Sheet1!A:A,Sheet1!D:D,"")</f>
        <v>BRIERWOOD</v>
      </c>
      <c r="C89" s="1" t="s">
        <v>283</v>
      </c>
      <c r="D89" s="2">
        <f>_xlfn.XLOOKUP(A89,Sheet1!A:A,Sheet1!C:C,"")</f>
        <v>577</v>
      </c>
      <c r="E89" s="2">
        <v>699</v>
      </c>
      <c r="F89" s="1" t="s">
        <v>134</v>
      </c>
      <c r="G89" s="1" t="s">
        <v>1161</v>
      </c>
      <c r="H89" s="1" t="s">
        <v>135</v>
      </c>
      <c r="I89" s="1" t="s">
        <v>14</v>
      </c>
      <c r="J89" s="1" t="s">
        <v>74</v>
      </c>
      <c r="K89" s="1" t="s">
        <v>39</v>
      </c>
      <c r="L89" s="1" t="s">
        <v>19</v>
      </c>
      <c r="M89" s="1" t="s">
        <v>18</v>
      </c>
      <c r="N89" s="1" t="s">
        <v>19</v>
      </c>
      <c r="O89" s="1" t="s">
        <v>19</v>
      </c>
      <c r="P89" s="1" t="s">
        <v>20</v>
      </c>
    </row>
    <row r="90" spans="1:16" x14ac:dyDescent="0.35">
      <c r="A90" s="1">
        <v>50129204</v>
      </c>
      <c r="B90" s="1" t="str">
        <f>_xlfn.XLOOKUP(A90,Sheet1!A:A,Sheet1!D:D,"")</f>
        <v>CASTLE ROCK</v>
      </c>
      <c r="C90" s="1" t="s">
        <v>285</v>
      </c>
      <c r="D90" s="2">
        <f>_xlfn.XLOOKUP(A90,Sheet1!A:A,Sheet1!C:C,"")</f>
        <v>897</v>
      </c>
      <c r="E90" s="2">
        <v>1099</v>
      </c>
      <c r="F90" s="1" t="s">
        <v>132</v>
      </c>
      <c r="G90" s="1" t="s">
        <v>1161</v>
      </c>
      <c r="H90" s="1" t="s">
        <v>138</v>
      </c>
      <c r="I90" s="1" t="s">
        <v>14</v>
      </c>
      <c r="J90" s="1" t="s">
        <v>74</v>
      </c>
      <c r="K90" s="1" t="s">
        <v>39</v>
      </c>
      <c r="L90" s="1" t="s">
        <v>17</v>
      </c>
      <c r="M90" s="1" t="s">
        <v>18</v>
      </c>
      <c r="N90" s="1" t="s">
        <v>17</v>
      </c>
      <c r="O90" s="1" t="s">
        <v>19</v>
      </c>
      <c r="P90" s="1" t="s">
        <v>20</v>
      </c>
    </row>
    <row r="91" spans="1:16" x14ac:dyDescent="0.35">
      <c r="A91" s="1">
        <v>50129216</v>
      </c>
      <c r="B91" s="1" t="str">
        <f>_xlfn.XLOOKUP(A91,Sheet1!A:A,Sheet1!D:D,"")</f>
        <v>PEBBLEBROOK</v>
      </c>
      <c r="C91" s="1" t="s">
        <v>286</v>
      </c>
      <c r="D91" s="2">
        <f>_xlfn.XLOOKUP(A91,Sheet1!A:A,Sheet1!C:C,"")</f>
        <v>977</v>
      </c>
      <c r="E91" s="2">
        <v>1199</v>
      </c>
      <c r="F91" s="1" t="s">
        <v>140</v>
      </c>
      <c r="H91" s="1" t="s">
        <v>141</v>
      </c>
      <c r="I91" s="1" t="s">
        <v>14</v>
      </c>
      <c r="J91" s="1" t="s">
        <v>74</v>
      </c>
      <c r="K91" s="1" t="s">
        <v>39</v>
      </c>
      <c r="L91" s="1" t="s">
        <v>17</v>
      </c>
      <c r="M91" s="1" t="s">
        <v>18</v>
      </c>
      <c r="N91" s="1" t="s">
        <v>28</v>
      </c>
      <c r="O91" s="1" t="s">
        <v>17</v>
      </c>
      <c r="P91" s="1" t="s">
        <v>20</v>
      </c>
    </row>
    <row r="92" spans="1:16" x14ac:dyDescent="0.35">
      <c r="A92" s="1">
        <v>50134116</v>
      </c>
      <c r="B92" s="1" t="str">
        <f>_xlfn.XLOOKUP(A92,Sheet1!A:A,Sheet1!D:D,"")</f>
        <v>TEMPUR-KIDS</v>
      </c>
      <c r="C92" s="1" t="s">
        <v>289</v>
      </c>
      <c r="D92" s="2">
        <f>_xlfn.XLOOKUP(A92,Sheet1!A:A,Sheet1!C:C,"")</f>
        <v>699</v>
      </c>
      <c r="E92" s="2">
        <v>799</v>
      </c>
      <c r="F92" s="1" t="s">
        <v>46</v>
      </c>
      <c r="H92" s="1" t="s">
        <v>290</v>
      </c>
      <c r="I92" s="1" t="s">
        <v>41</v>
      </c>
      <c r="J92" s="1" t="s">
        <v>74</v>
      </c>
      <c r="K92" s="1" t="s">
        <v>16</v>
      </c>
      <c r="L92" s="1" t="s">
        <v>32</v>
      </c>
      <c r="M92" s="1" t="s">
        <v>18</v>
      </c>
      <c r="N92" s="1" t="s">
        <v>32</v>
      </c>
      <c r="O92" s="1" t="s">
        <v>19</v>
      </c>
      <c r="P92" s="1" t="s">
        <v>20</v>
      </c>
    </row>
    <row r="93" spans="1:16" x14ac:dyDescent="0.35">
      <c r="A93" s="1">
        <v>50152570</v>
      </c>
      <c r="B93" s="1" t="str">
        <f>_xlfn.XLOOKUP(A93,Sheet1!A:A,Sheet1!D:D,"")</f>
        <v>Z-305</v>
      </c>
      <c r="C93" s="1" t="s">
        <v>297</v>
      </c>
      <c r="D93" s="2">
        <f>_xlfn.XLOOKUP(A93,Sheet1!A:A,Sheet1!C:C,"")</f>
        <v>277</v>
      </c>
      <c r="E93" s="2">
        <v>299.99</v>
      </c>
      <c r="F93" s="1" t="s">
        <v>296</v>
      </c>
      <c r="G93" s="1" t="s">
        <v>1161</v>
      </c>
      <c r="H93" s="1" t="s">
        <v>298</v>
      </c>
      <c r="I93" s="1" t="s">
        <v>41</v>
      </c>
      <c r="J93" s="1" t="s">
        <v>74</v>
      </c>
      <c r="K93" s="1" t="s">
        <v>39</v>
      </c>
      <c r="L93" s="1" t="s">
        <v>19</v>
      </c>
      <c r="M93" s="1" t="s">
        <v>18</v>
      </c>
      <c r="N93" s="1" t="s">
        <v>19</v>
      </c>
      <c r="O93" s="1" t="s">
        <v>19</v>
      </c>
      <c r="P93" s="1" t="s">
        <v>20</v>
      </c>
    </row>
    <row r="94" spans="1:16" x14ac:dyDescent="0.35">
      <c r="A94" s="1">
        <v>50152582</v>
      </c>
      <c r="B94" s="1" t="str">
        <f>_xlfn.XLOOKUP(A94,Sheet1!A:A,Sheet1!D:D,"")</f>
        <v>Z-505</v>
      </c>
      <c r="C94" s="1" t="s">
        <v>299</v>
      </c>
      <c r="D94" s="2">
        <f>_xlfn.XLOOKUP(A94,Sheet1!A:A,Sheet1!C:C,"")</f>
        <v>327</v>
      </c>
      <c r="E94" s="2">
        <v>349.99</v>
      </c>
      <c r="F94" s="1" t="s">
        <v>296</v>
      </c>
      <c r="G94" s="1" t="s">
        <v>1161</v>
      </c>
      <c r="H94" s="1" t="s">
        <v>300</v>
      </c>
      <c r="I94" s="1" t="s">
        <v>41</v>
      </c>
      <c r="J94" s="1" t="s">
        <v>74</v>
      </c>
      <c r="K94" s="1" t="s">
        <v>39</v>
      </c>
      <c r="L94" s="1" t="s">
        <v>17</v>
      </c>
      <c r="M94" s="1" t="s">
        <v>31</v>
      </c>
      <c r="N94" s="1" t="s">
        <v>17</v>
      </c>
      <c r="O94" s="1" t="s">
        <v>28</v>
      </c>
      <c r="P94" s="1" t="s">
        <v>33</v>
      </c>
    </row>
    <row r="95" spans="1:16" x14ac:dyDescent="0.35">
      <c r="A95" s="1">
        <v>50170047</v>
      </c>
      <c r="B95" s="1" t="str">
        <f>_xlfn.XLOOKUP(A95,Sheet1!A:A,Sheet1!D:D,"")</f>
        <v>HELIX KIDS</v>
      </c>
      <c r="C95" s="1" t="s">
        <v>303</v>
      </c>
      <c r="D95" s="2">
        <f>_xlfn.XLOOKUP(A95,Sheet1!A:A,Sheet1!C:C,"")</f>
        <v>599</v>
      </c>
      <c r="E95" s="2">
        <v>748.75</v>
      </c>
      <c r="F95" s="1" t="s">
        <v>201</v>
      </c>
      <c r="I95" s="1" t="s">
        <v>41</v>
      </c>
      <c r="J95" s="1" t="s">
        <v>74</v>
      </c>
      <c r="K95" s="1" t="s">
        <v>39</v>
      </c>
      <c r="L95" s="1" t="s">
        <v>28</v>
      </c>
      <c r="M95" s="1" t="s">
        <v>18</v>
      </c>
      <c r="N95" s="1" t="s">
        <v>32</v>
      </c>
      <c r="O95" s="1" t="s">
        <v>17</v>
      </c>
      <c r="P95" s="1" t="s">
        <v>294</v>
      </c>
    </row>
    <row r="96" spans="1:16" x14ac:dyDescent="0.35">
      <c r="A96" s="1">
        <v>50170112</v>
      </c>
      <c r="B96" s="1" t="str">
        <f>_xlfn.XLOOKUP(A96,Sheet1!A:A,Sheet1!D:D,"")</f>
        <v>HELIX MIDNIGHT LUXE</v>
      </c>
      <c r="C96" s="1" t="s">
        <v>305</v>
      </c>
      <c r="D96" s="2">
        <f>_xlfn.XLOOKUP(A96,Sheet1!A:A,Sheet1!C:C,"")</f>
        <v>1348</v>
      </c>
      <c r="E96" s="2">
        <v>1685</v>
      </c>
      <c r="F96" s="1" t="s">
        <v>201</v>
      </c>
      <c r="I96" s="1" t="s">
        <v>14</v>
      </c>
      <c r="J96" s="1" t="s">
        <v>74</v>
      </c>
      <c r="K96" s="1" t="s">
        <v>39</v>
      </c>
      <c r="L96" s="1" t="s">
        <v>28</v>
      </c>
      <c r="M96" s="1" t="s">
        <v>18</v>
      </c>
      <c r="N96" s="1" t="s">
        <v>28</v>
      </c>
      <c r="O96" s="1" t="s">
        <v>17</v>
      </c>
      <c r="P96" s="1" t="s">
        <v>20</v>
      </c>
    </row>
    <row r="97" spans="1:16" x14ac:dyDescent="0.35">
      <c r="A97" s="1">
        <v>50170124</v>
      </c>
      <c r="B97" s="1" t="str">
        <f>_xlfn.XLOOKUP(A97,Sheet1!A:A,Sheet1!D:D,"")</f>
        <v>HELIX MIDNIGHT ELITE</v>
      </c>
      <c r="C97" s="1" t="s">
        <v>306</v>
      </c>
      <c r="D97" s="2">
        <f>_xlfn.XLOOKUP(A97,Sheet1!A:A,Sheet1!C:C,"")</f>
        <v>1999</v>
      </c>
      <c r="E97" s="2">
        <v>2498.75</v>
      </c>
      <c r="F97" s="1" t="s">
        <v>201</v>
      </c>
      <c r="I97" s="1" t="s">
        <v>14</v>
      </c>
      <c r="J97" s="1" t="s">
        <v>74</v>
      </c>
      <c r="K97" s="1" t="s">
        <v>39</v>
      </c>
      <c r="L97" s="1" t="s">
        <v>32</v>
      </c>
      <c r="M97" s="1" t="s">
        <v>18</v>
      </c>
      <c r="N97" s="1" t="s">
        <v>28</v>
      </c>
      <c r="O97" s="1" t="s">
        <v>28</v>
      </c>
      <c r="P97" s="1" t="s">
        <v>20</v>
      </c>
    </row>
    <row r="98" spans="1:16" x14ac:dyDescent="0.35">
      <c r="A98" s="1">
        <v>50218607</v>
      </c>
      <c r="B98" s="1" t="str">
        <f>_xlfn.XLOOKUP(A98,Sheet1!A:A,Sheet1!D:D,"")</f>
        <v>EASE 4.0</v>
      </c>
      <c r="C98" s="1" t="s">
        <v>309</v>
      </c>
      <c r="D98" s="2">
        <f>_xlfn.XLOOKUP(A98,Sheet1!A:A,Sheet1!C:C,"")</f>
        <v>899</v>
      </c>
      <c r="E98" s="2">
        <v>899</v>
      </c>
      <c r="H98" s="1" t="s">
        <v>310</v>
      </c>
      <c r="I98" s="1" t="s">
        <v>14</v>
      </c>
      <c r="J98" s="1" t="s">
        <v>74</v>
      </c>
    </row>
    <row r="99" spans="1:16" x14ac:dyDescent="0.35">
      <c r="A99" s="1">
        <v>50300549</v>
      </c>
      <c r="B99" s="1" t="str">
        <f>_xlfn.XLOOKUP(A99,Sheet1!A:A,Sheet1!D:D,"")</f>
        <v>CASPER CLOUD ONE</v>
      </c>
      <c r="C99" s="1" t="s">
        <v>316</v>
      </c>
      <c r="D99" s="2">
        <f>_xlfn.XLOOKUP(A99,Sheet1!A:A,Sheet1!C:C,"")</f>
        <v>959</v>
      </c>
      <c r="E99" s="2">
        <v>1199</v>
      </c>
      <c r="F99" s="1" t="s">
        <v>13</v>
      </c>
      <c r="I99" s="1" t="s">
        <v>14</v>
      </c>
      <c r="J99" s="1" t="s">
        <v>317</v>
      </c>
      <c r="K99" s="1" t="s">
        <v>16</v>
      </c>
      <c r="L99" s="1" t="s">
        <v>17</v>
      </c>
      <c r="M99" s="1" t="s">
        <v>18</v>
      </c>
      <c r="N99" s="1" t="s">
        <v>17</v>
      </c>
      <c r="O99" s="1" t="s">
        <v>19</v>
      </c>
      <c r="P99" s="1" t="s">
        <v>20</v>
      </c>
    </row>
    <row r="100" spans="1:16" x14ac:dyDescent="0.35">
      <c r="A100" s="1">
        <v>50300575</v>
      </c>
      <c r="B100" s="1" t="str">
        <f>_xlfn.XLOOKUP(A100,Sheet1!A:A,Sheet1!D:D,"")</f>
        <v>CASPER SNOW 2.0</v>
      </c>
      <c r="C100" s="1" t="s">
        <v>320</v>
      </c>
      <c r="D100" s="2">
        <f>_xlfn.XLOOKUP(A100,Sheet1!A:A,Sheet1!C:C,"")</f>
        <v>1995</v>
      </c>
      <c r="E100" s="2">
        <v>2495</v>
      </c>
      <c r="F100" s="1" t="s">
        <v>13</v>
      </c>
      <c r="H100" s="1" t="s">
        <v>321</v>
      </c>
      <c r="I100" s="1" t="s">
        <v>14</v>
      </c>
      <c r="J100" s="1" t="s">
        <v>317</v>
      </c>
      <c r="K100" s="1" t="s">
        <v>25</v>
      </c>
      <c r="L100" s="1" t="s">
        <v>17</v>
      </c>
      <c r="M100" s="1" t="s">
        <v>18</v>
      </c>
      <c r="N100" s="1" t="s">
        <v>17</v>
      </c>
      <c r="O100" s="1" t="s">
        <v>28</v>
      </c>
      <c r="P100" s="1" t="s">
        <v>20</v>
      </c>
    </row>
    <row r="101" spans="1:16" x14ac:dyDescent="0.35">
      <c r="A101" s="1">
        <v>50300587</v>
      </c>
      <c r="B101" s="1" t="str">
        <f>_xlfn.XLOOKUP(A101,Sheet1!A:A,Sheet1!D:D,"")</f>
        <v>CASPER SNOW MAX</v>
      </c>
      <c r="C101" s="1" t="s">
        <v>322</v>
      </c>
      <c r="D101" s="2">
        <f>_xlfn.XLOOKUP(A101,Sheet1!A:A,Sheet1!C:C,"")</f>
        <v>2995</v>
      </c>
      <c r="E101" s="2">
        <v>3795</v>
      </c>
      <c r="F101" s="1" t="s">
        <v>13</v>
      </c>
      <c r="H101" s="1" t="s">
        <v>30</v>
      </c>
      <c r="I101" s="1" t="s">
        <v>14</v>
      </c>
      <c r="J101" s="1" t="s">
        <v>317</v>
      </c>
      <c r="K101" s="1" t="s">
        <v>25</v>
      </c>
      <c r="L101" s="1" t="s">
        <v>28</v>
      </c>
      <c r="M101" s="1" t="s">
        <v>31</v>
      </c>
      <c r="N101" s="1" t="s">
        <v>17</v>
      </c>
      <c r="O101" s="1" t="s">
        <v>32</v>
      </c>
      <c r="P101" s="1" t="s">
        <v>33</v>
      </c>
    </row>
    <row r="102" spans="1:16" x14ac:dyDescent="0.35">
      <c r="A102" s="1">
        <v>50300688</v>
      </c>
      <c r="B102" s="1" t="str">
        <f>_xlfn.XLOOKUP(A102,Sheet1!A:A,Sheet1!D:D,"")</f>
        <v>CASPER ONYX 2.0</v>
      </c>
      <c r="C102" s="1" t="s">
        <v>324</v>
      </c>
      <c r="D102" s="2">
        <f>_xlfn.XLOOKUP(A102,Sheet1!A:A,Sheet1!C:C,"")</f>
        <v>749</v>
      </c>
      <c r="E102" s="2">
        <v>849</v>
      </c>
      <c r="F102" s="1" t="s">
        <v>13</v>
      </c>
      <c r="G102" s="1" t="s">
        <v>1161</v>
      </c>
      <c r="H102" s="1" t="s">
        <v>213</v>
      </c>
      <c r="I102" s="1" t="s">
        <v>14</v>
      </c>
      <c r="J102" s="1" t="s">
        <v>317</v>
      </c>
      <c r="K102" s="1" t="s">
        <v>16</v>
      </c>
      <c r="L102" s="1" t="s">
        <v>19</v>
      </c>
      <c r="M102" s="1" t="s">
        <v>18</v>
      </c>
      <c r="N102" s="1" t="s">
        <v>19</v>
      </c>
      <c r="O102" s="1" t="s">
        <v>19</v>
      </c>
      <c r="P102" s="1" t="s">
        <v>20</v>
      </c>
    </row>
    <row r="103" spans="1:16" x14ac:dyDescent="0.35">
      <c r="A103" s="1">
        <v>50301779</v>
      </c>
      <c r="B103" s="1" t="str">
        <f>_xlfn.XLOOKUP(A103,Sheet1!A:A,Sheet1!D:D,"")</f>
        <v>SMART MATCH 2.0</v>
      </c>
      <c r="C103" s="1" t="s">
        <v>325</v>
      </c>
      <c r="D103" s="2">
        <f>_xlfn.XLOOKUP(A103,Sheet1!A:A,Sheet1!C:C,"")</f>
        <v>1177</v>
      </c>
      <c r="E103" s="2">
        <v>3599</v>
      </c>
      <c r="F103" s="1" t="s">
        <v>38</v>
      </c>
      <c r="J103" s="1" t="s">
        <v>317</v>
      </c>
      <c r="K103" s="1" t="s">
        <v>39</v>
      </c>
      <c r="L103" s="1" t="s">
        <v>28</v>
      </c>
      <c r="M103" s="1" t="s">
        <v>18</v>
      </c>
      <c r="N103" s="1" t="s">
        <v>28</v>
      </c>
      <c r="O103" s="1" t="s">
        <v>17</v>
      </c>
      <c r="P103" s="1" t="s">
        <v>20</v>
      </c>
    </row>
    <row r="104" spans="1:16" x14ac:dyDescent="0.35">
      <c r="A104" s="1">
        <v>50302264</v>
      </c>
      <c r="B104" s="1" t="str">
        <f>_xlfn.XLOOKUP(A104,Sheet1!A:A,Sheet1!D:D,"")</f>
        <v>TURNBULL</v>
      </c>
      <c r="C104" s="1" t="s">
        <v>327</v>
      </c>
      <c r="D104" s="2">
        <f>_xlfn.XLOOKUP(A104,Sheet1!A:A,Sheet1!C:C,"")</f>
        <v>338</v>
      </c>
      <c r="E104" s="2">
        <v>349.99</v>
      </c>
      <c r="F104" s="1" t="s">
        <v>38</v>
      </c>
      <c r="G104" s="1" t="s">
        <v>1161</v>
      </c>
      <c r="H104" s="1" t="s">
        <v>217</v>
      </c>
      <c r="I104" s="1" t="s">
        <v>41</v>
      </c>
      <c r="J104" s="1" t="s">
        <v>317</v>
      </c>
      <c r="K104" s="1" t="s">
        <v>39</v>
      </c>
      <c r="L104" s="1" t="s">
        <v>19</v>
      </c>
      <c r="M104" s="1" t="s">
        <v>18</v>
      </c>
      <c r="N104" s="1" t="s">
        <v>89</v>
      </c>
      <c r="O104" s="1" t="s">
        <v>19</v>
      </c>
      <c r="P104" s="1" t="s">
        <v>20</v>
      </c>
    </row>
    <row r="105" spans="1:16" x14ac:dyDescent="0.35">
      <c r="A105" s="1">
        <v>50302288</v>
      </c>
      <c r="B105" s="1" t="str">
        <f>_xlfn.XLOOKUP(A105,Sheet1!A:A,Sheet1!D:D,"")</f>
        <v>HAWKE</v>
      </c>
      <c r="C105" s="1" t="s">
        <v>329</v>
      </c>
      <c r="D105" s="2">
        <f>_xlfn.XLOOKUP(A105,Sheet1!A:A,Sheet1!C:C,"")</f>
        <v>398</v>
      </c>
      <c r="E105" s="2">
        <v>499.99</v>
      </c>
      <c r="F105" s="1" t="s">
        <v>38</v>
      </c>
      <c r="G105" s="1" t="s">
        <v>1161</v>
      </c>
      <c r="H105" s="1" t="s">
        <v>220</v>
      </c>
      <c r="I105" s="1" t="s">
        <v>41</v>
      </c>
      <c r="J105" s="1" t="s">
        <v>317</v>
      </c>
      <c r="K105" s="1" t="s">
        <v>39</v>
      </c>
      <c r="L105" s="1" t="s">
        <v>17</v>
      </c>
      <c r="M105" s="1" t="s">
        <v>18</v>
      </c>
      <c r="N105" s="1" t="s">
        <v>28</v>
      </c>
      <c r="O105" s="1" t="s">
        <v>19</v>
      </c>
      <c r="P105" s="1" t="s">
        <v>20</v>
      </c>
    </row>
    <row r="106" spans="1:16" x14ac:dyDescent="0.35">
      <c r="A106" s="1">
        <v>50302290</v>
      </c>
      <c r="B106" s="1" t="str">
        <f>_xlfn.XLOOKUP(A106,Sheet1!A:A,Sheet1!D:D,"")</f>
        <v>GRENSON</v>
      </c>
      <c r="C106" s="1" t="s">
        <v>330</v>
      </c>
      <c r="D106" s="2">
        <f>_xlfn.XLOOKUP(A106,Sheet1!A:A,Sheet1!C:C,"")</f>
        <v>527</v>
      </c>
      <c r="E106" s="2">
        <v>599.99</v>
      </c>
      <c r="F106" s="1" t="s">
        <v>38</v>
      </c>
      <c r="G106" s="1" t="s">
        <v>1161</v>
      </c>
      <c r="H106" s="1" t="s">
        <v>222</v>
      </c>
      <c r="I106" s="1" t="s">
        <v>41</v>
      </c>
      <c r="J106" s="1" t="s">
        <v>317</v>
      </c>
      <c r="K106" s="1" t="s">
        <v>16</v>
      </c>
      <c r="L106" s="1" t="s">
        <v>28</v>
      </c>
      <c r="M106" s="1" t="s">
        <v>31</v>
      </c>
      <c r="N106" s="1" t="s">
        <v>17</v>
      </c>
      <c r="O106" s="1" t="s">
        <v>19</v>
      </c>
      <c r="P106" s="1" t="s">
        <v>33</v>
      </c>
    </row>
    <row r="107" spans="1:16" x14ac:dyDescent="0.35">
      <c r="A107" s="1">
        <v>50307466</v>
      </c>
      <c r="B107" s="1" t="str">
        <f>_xlfn.XLOOKUP(A107,Sheet1!A:A,Sheet1!D:D,"")</f>
        <v>ADAPT 2.0 MEDIUM</v>
      </c>
      <c r="C107" s="1" t="s">
        <v>331</v>
      </c>
      <c r="D107" s="2">
        <f>_xlfn.XLOOKUP(A107,Sheet1!A:A,Sheet1!C:C,"")</f>
        <v>2049</v>
      </c>
      <c r="E107" s="2">
        <v>2049</v>
      </c>
      <c r="F107" s="1" t="s">
        <v>46</v>
      </c>
      <c r="H107" s="1" t="s">
        <v>47</v>
      </c>
      <c r="I107" s="1" t="s">
        <v>14</v>
      </c>
      <c r="J107" s="1" t="s">
        <v>317</v>
      </c>
      <c r="K107" s="1" t="s">
        <v>16</v>
      </c>
      <c r="L107" s="1" t="s">
        <v>28</v>
      </c>
      <c r="M107" s="1" t="s">
        <v>18</v>
      </c>
      <c r="N107" s="1" t="s">
        <v>28</v>
      </c>
      <c r="O107" s="1" t="s">
        <v>28</v>
      </c>
      <c r="P107" s="1" t="s">
        <v>20</v>
      </c>
    </row>
    <row r="108" spans="1:16" x14ac:dyDescent="0.35">
      <c r="A108" s="1">
        <v>50307478</v>
      </c>
      <c r="B108" s="1" t="str">
        <f>_xlfn.XLOOKUP(A108,Sheet1!A:A,Sheet1!D:D,"")</f>
        <v>ADAPT 2.0 MEDIUM HYBRID</v>
      </c>
      <c r="C108" s="1" t="s">
        <v>332</v>
      </c>
      <c r="D108" s="2">
        <f>_xlfn.XLOOKUP(A108,Sheet1!A:A,Sheet1!C:C,"")</f>
        <v>2349</v>
      </c>
      <c r="E108" s="2">
        <v>2349</v>
      </c>
      <c r="F108" s="1" t="s">
        <v>46</v>
      </c>
      <c r="H108" s="1" t="s">
        <v>49</v>
      </c>
      <c r="I108" s="1" t="s">
        <v>14</v>
      </c>
      <c r="J108" s="1" t="s">
        <v>317</v>
      </c>
      <c r="K108" s="1" t="s">
        <v>25</v>
      </c>
      <c r="L108" s="1" t="s">
        <v>28</v>
      </c>
      <c r="M108" s="1" t="s">
        <v>18</v>
      </c>
      <c r="N108" s="1" t="s">
        <v>28</v>
      </c>
      <c r="O108" s="1" t="s">
        <v>28</v>
      </c>
      <c r="P108" s="1" t="s">
        <v>20</v>
      </c>
    </row>
    <row r="109" spans="1:16" x14ac:dyDescent="0.35">
      <c r="A109" s="1">
        <v>50307480</v>
      </c>
      <c r="B109" s="1" t="str">
        <f>_xlfn.XLOOKUP(A109,Sheet1!A:A,Sheet1!D:D,"")</f>
        <v>PROADAPT 2.0 FIRM</v>
      </c>
      <c r="C109" s="1" t="s">
        <v>333</v>
      </c>
      <c r="D109" s="2">
        <f>_xlfn.XLOOKUP(A109,Sheet1!A:A,Sheet1!C:C,"")</f>
        <v>3249</v>
      </c>
      <c r="E109" s="2">
        <v>3249</v>
      </c>
      <c r="F109" s="1" t="s">
        <v>46</v>
      </c>
      <c r="H109" s="1" t="s">
        <v>51</v>
      </c>
      <c r="I109" s="1" t="s">
        <v>14</v>
      </c>
      <c r="J109" s="1" t="s">
        <v>317</v>
      </c>
      <c r="K109" s="1" t="s">
        <v>16</v>
      </c>
      <c r="L109" s="1" t="s">
        <v>28</v>
      </c>
      <c r="M109" s="1" t="s">
        <v>22</v>
      </c>
      <c r="N109" s="1" t="s">
        <v>32</v>
      </c>
      <c r="O109" s="1" t="s">
        <v>28</v>
      </c>
      <c r="P109" s="1" t="s">
        <v>23</v>
      </c>
    </row>
    <row r="110" spans="1:16" x14ac:dyDescent="0.35">
      <c r="A110" s="1">
        <v>50307529</v>
      </c>
      <c r="B110" s="1" t="str">
        <f>_xlfn.XLOOKUP(A110,Sheet1!A:A,Sheet1!D:D,"")</f>
        <v>PROADAPT 2.0 MEDIUM</v>
      </c>
      <c r="C110" s="1" t="s">
        <v>334</v>
      </c>
      <c r="D110" s="2">
        <f>_xlfn.XLOOKUP(A110,Sheet1!A:A,Sheet1!C:C,"")</f>
        <v>3249</v>
      </c>
      <c r="E110" s="2">
        <v>3249</v>
      </c>
      <c r="F110" s="1" t="s">
        <v>46</v>
      </c>
      <c r="H110" s="1" t="s">
        <v>51</v>
      </c>
      <c r="I110" s="1" t="s">
        <v>14</v>
      </c>
      <c r="J110" s="1" t="s">
        <v>317</v>
      </c>
      <c r="K110" s="1" t="s">
        <v>16</v>
      </c>
      <c r="L110" s="1" t="s">
        <v>28</v>
      </c>
      <c r="M110" s="1" t="s">
        <v>18</v>
      </c>
      <c r="N110" s="1" t="s">
        <v>32</v>
      </c>
      <c r="O110" s="1" t="s">
        <v>28</v>
      </c>
      <c r="P110" s="1" t="s">
        <v>20</v>
      </c>
    </row>
    <row r="111" spans="1:16" x14ac:dyDescent="0.35">
      <c r="A111" s="1">
        <v>50307531</v>
      </c>
      <c r="B111" s="1" t="str">
        <f>_xlfn.XLOOKUP(A111,Sheet1!A:A,Sheet1!D:D,"")</f>
        <v>PROADAPT 2.0 SOFT</v>
      </c>
      <c r="C111" s="1" t="s">
        <v>335</v>
      </c>
      <c r="D111" s="2">
        <f>_xlfn.XLOOKUP(A111,Sheet1!A:A,Sheet1!C:C,"")</f>
        <v>3249</v>
      </c>
      <c r="E111" s="2">
        <v>3249</v>
      </c>
      <c r="F111" s="1" t="s">
        <v>46</v>
      </c>
      <c r="H111" s="1" t="s">
        <v>57</v>
      </c>
      <c r="I111" s="1" t="s">
        <v>14</v>
      </c>
      <c r="J111" s="1" t="s">
        <v>317</v>
      </c>
      <c r="K111" s="1" t="s">
        <v>16</v>
      </c>
      <c r="L111" s="1" t="s">
        <v>32</v>
      </c>
      <c r="M111" s="1" t="s">
        <v>31</v>
      </c>
      <c r="N111" s="1" t="s">
        <v>32</v>
      </c>
      <c r="O111" s="1" t="s">
        <v>28</v>
      </c>
      <c r="P111" s="1" t="s">
        <v>33</v>
      </c>
    </row>
    <row r="112" spans="1:16" x14ac:dyDescent="0.35">
      <c r="A112" s="1">
        <v>50307555</v>
      </c>
      <c r="B112" s="1" t="str">
        <f>_xlfn.XLOOKUP(A112,Sheet1!A:A,Sheet1!D:D,"")</f>
        <v>PROADAPT 2.0 MEDIUM HYBRID</v>
      </c>
      <c r="C112" s="1" t="s">
        <v>336</v>
      </c>
      <c r="D112" s="2">
        <f>_xlfn.XLOOKUP(A112,Sheet1!A:A,Sheet1!C:C,"")</f>
        <v>3249</v>
      </c>
      <c r="E112" s="2">
        <v>3249</v>
      </c>
      <c r="F112" s="1" t="s">
        <v>46</v>
      </c>
      <c r="H112" s="1" t="s">
        <v>337</v>
      </c>
      <c r="I112" s="1" t="s">
        <v>14</v>
      </c>
      <c r="J112" s="1" t="s">
        <v>317</v>
      </c>
      <c r="K112" s="1" t="s">
        <v>25</v>
      </c>
      <c r="L112" s="1" t="s">
        <v>28</v>
      </c>
      <c r="M112" s="1" t="s">
        <v>18</v>
      </c>
      <c r="N112" s="1" t="s">
        <v>32</v>
      </c>
      <c r="O112" s="1" t="s">
        <v>28</v>
      </c>
      <c r="P112" s="1" t="s">
        <v>20</v>
      </c>
    </row>
    <row r="113" spans="1:16" x14ac:dyDescent="0.35">
      <c r="A113" s="1">
        <v>50309876</v>
      </c>
      <c r="B113" s="1" t="str">
        <f>_xlfn.XLOOKUP(A113,Sheet1!A:A,Sheet1!D:D,"")</f>
        <v>TUFT &amp; NEEDLE STITCH TN3.1</v>
      </c>
      <c r="C113" s="1" t="s">
        <v>338</v>
      </c>
      <c r="D113" s="2">
        <f>_xlfn.XLOOKUP(A113,Sheet1!A:A,Sheet1!C:C,"")</f>
        <v>897</v>
      </c>
      <c r="E113" s="2">
        <v>1099</v>
      </c>
      <c r="F113" s="1" t="s">
        <v>71</v>
      </c>
      <c r="G113" s="1" t="s">
        <v>1161</v>
      </c>
      <c r="I113" s="1" t="s">
        <v>14</v>
      </c>
      <c r="J113" s="1" t="s">
        <v>317</v>
      </c>
      <c r="K113" s="1" t="s">
        <v>25</v>
      </c>
      <c r="L113" s="1" t="s">
        <v>17</v>
      </c>
      <c r="M113" s="1" t="s">
        <v>18</v>
      </c>
      <c r="N113" s="1" t="s">
        <v>17</v>
      </c>
      <c r="O113" s="1" t="s">
        <v>17</v>
      </c>
      <c r="P113" s="1" t="s">
        <v>20</v>
      </c>
    </row>
    <row r="114" spans="1:16" x14ac:dyDescent="0.35">
      <c r="A114" s="1">
        <v>50309888</v>
      </c>
      <c r="B114" s="1" t="str">
        <f>_xlfn.XLOOKUP(A114,Sheet1!A:A,Sheet1!D:D,"")</f>
        <v>TUFT &amp; NEEDLE STITCH TN5.1</v>
      </c>
      <c r="C114" s="1" t="s">
        <v>339</v>
      </c>
      <c r="D114" s="2">
        <f>_xlfn.XLOOKUP(A114,Sheet1!A:A,Sheet1!C:C,"")</f>
        <v>995</v>
      </c>
      <c r="E114" s="2">
        <v>1599</v>
      </c>
      <c r="F114" s="1" t="s">
        <v>71</v>
      </c>
      <c r="G114" s="1" t="s">
        <v>1161</v>
      </c>
      <c r="I114" s="1" t="s">
        <v>14</v>
      </c>
      <c r="J114" s="1" t="s">
        <v>317</v>
      </c>
      <c r="K114" s="1" t="s">
        <v>25</v>
      </c>
      <c r="L114" s="1" t="s">
        <v>28</v>
      </c>
      <c r="M114" s="1" t="s">
        <v>22</v>
      </c>
      <c r="N114" s="1" t="s">
        <v>28</v>
      </c>
      <c r="O114" s="1" t="s">
        <v>28</v>
      </c>
      <c r="P114" s="1" t="s">
        <v>23</v>
      </c>
    </row>
    <row r="115" spans="1:16" x14ac:dyDescent="0.35">
      <c r="A115" s="1">
        <v>50309903</v>
      </c>
      <c r="B115" s="1" t="str">
        <f>_xlfn.XLOOKUP(A115,Sheet1!A:A,Sheet1!D:D,"")</f>
        <v>TUFT &amp; NEEDLE STITCH TN9.1</v>
      </c>
      <c r="C115" s="1" t="s">
        <v>341</v>
      </c>
      <c r="D115" s="2">
        <f>_xlfn.XLOOKUP(A115,Sheet1!A:A,Sheet1!C:C,"")</f>
        <v>1797</v>
      </c>
      <c r="E115" s="2">
        <v>2299</v>
      </c>
      <c r="F115" s="1" t="s">
        <v>71</v>
      </c>
      <c r="G115" s="1" t="s">
        <v>1161</v>
      </c>
      <c r="I115" s="1" t="s">
        <v>14</v>
      </c>
      <c r="J115" s="1" t="s">
        <v>317</v>
      </c>
      <c r="K115" s="1" t="s">
        <v>25</v>
      </c>
      <c r="L115" s="1" t="s">
        <v>32</v>
      </c>
      <c r="M115" s="1" t="s">
        <v>31</v>
      </c>
      <c r="N115" s="1" t="s">
        <v>28</v>
      </c>
      <c r="O115" s="1" t="s">
        <v>28</v>
      </c>
      <c r="P115" s="1" t="s">
        <v>33</v>
      </c>
    </row>
    <row r="116" spans="1:16" x14ac:dyDescent="0.35">
      <c r="A116" s="1">
        <v>50309927</v>
      </c>
      <c r="B116" s="1" t="str">
        <f>_xlfn.XLOOKUP(A116,Sheet1!A:A,Sheet1!D:D,"")</f>
        <v>TUFT &amp; NEEDLE KIDS GLEE</v>
      </c>
      <c r="C116" s="1" t="s">
        <v>342</v>
      </c>
      <c r="D116" s="2">
        <f>_xlfn.XLOOKUP(A116,Sheet1!A:A,Sheet1!C:C,"")</f>
        <v>577</v>
      </c>
      <c r="E116" s="2">
        <v>599</v>
      </c>
      <c r="F116" s="1" t="s">
        <v>71</v>
      </c>
      <c r="G116" s="1" t="s">
        <v>1161</v>
      </c>
      <c r="H116" s="1" t="s">
        <v>234</v>
      </c>
      <c r="I116" s="1" t="s">
        <v>41</v>
      </c>
      <c r="J116" s="1" t="s">
        <v>317</v>
      </c>
      <c r="K116" s="1" t="s">
        <v>16</v>
      </c>
      <c r="L116" s="1" t="s">
        <v>19</v>
      </c>
      <c r="M116" s="1" t="s">
        <v>18</v>
      </c>
      <c r="N116" s="1" t="s">
        <v>19</v>
      </c>
      <c r="O116" s="1" t="s">
        <v>19</v>
      </c>
      <c r="P116" s="1" t="s">
        <v>20</v>
      </c>
    </row>
    <row r="117" spans="1:16" x14ac:dyDescent="0.35">
      <c r="A117" s="1">
        <v>50309939</v>
      </c>
      <c r="B117" s="1" t="str">
        <f>_xlfn.XLOOKUP(A117,Sheet1!A:A,Sheet1!D:D,"")</f>
        <v>TUFT &amp; NEEDLE TN1</v>
      </c>
      <c r="C117" s="1" t="s">
        <v>343</v>
      </c>
      <c r="D117" s="2">
        <f>_xlfn.XLOOKUP(A117,Sheet1!A:A,Sheet1!C:C,"")</f>
        <v>677</v>
      </c>
      <c r="E117" s="2">
        <v>799</v>
      </c>
      <c r="F117" s="1" t="s">
        <v>71</v>
      </c>
      <c r="G117" s="1" t="s">
        <v>1161</v>
      </c>
      <c r="H117" s="1" t="s">
        <v>77</v>
      </c>
      <c r="I117" s="1" t="s">
        <v>14</v>
      </c>
      <c r="J117" s="1" t="s">
        <v>317</v>
      </c>
      <c r="K117" s="1" t="s">
        <v>16</v>
      </c>
      <c r="L117" s="1" t="s">
        <v>19</v>
      </c>
      <c r="M117" s="1" t="s">
        <v>22</v>
      </c>
      <c r="N117" s="1" t="s">
        <v>19</v>
      </c>
      <c r="O117" s="1" t="s">
        <v>19</v>
      </c>
      <c r="P117" s="1" t="s">
        <v>23</v>
      </c>
    </row>
    <row r="118" spans="1:16" x14ac:dyDescent="0.35">
      <c r="A118" s="1">
        <v>50310576</v>
      </c>
      <c r="B118" s="1" t="str">
        <f>_xlfn.XLOOKUP(A118,Sheet1!A:A,Sheet1!D:D,"")</f>
        <v>MOLECULE CORE</v>
      </c>
      <c r="C118" s="1" t="s">
        <v>344</v>
      </c>
      <c r="D118" s="2">
        <f>_xlfn.XLOOKUP(A118,Sheet1!A:A,Sheet1!C:C,"")</f>
        <v>477</v>
      </c>
      <c r="E118" s="2">
        <v>979</v>
      </c>
      <c r="F118" s="1" t="s">
        <v>79</v>
      </c>
      <c r="I118" s="1" t="s">
        <v>14</v>
      </c>
      <c r="J118" s="1" t="s">
        <v>317</v>
      </c>
      <c r="K118" s="1" t="s">
        <v>16</v>
      </c>
      <c r="L118" s="1" t="s">
        <v>17</v>
      </c>
      <c r="M118" s="1" t="s">
        <v>18</v>
      </c>
      <c r="N118" s="1" t="s">
        <v>17</v>
      </c>
      <c r="O118" s="1" t="s">
        <v>17</v>
      </c>
      <c r="P118" s="1" t="s">
        <v>20</v>
      </c>
    </row>
    <row r="119" spans="1:16" x14ac:dyDescent="0.35">
      <c r="A119" s="1">
        <v>50310677</v>
      </c>
      <c r="B119" s="1" t="str">
        <f>_xlfn.XLOOKUP(A119,Sheet1!A:A,Sheet1!D:D,"")</f>
        <v>BROAD PEAK MEDIUM HYBRID</v>
      </c>
      <c r="C119" s="1" t="s">
        <v>345</v>
      </c>
      <c r="D119" s="2">
        <f>_xlfn.XLOOKUP(A119,Sheet1!A:A,Sheet1!C:C,"")</f>
        <v>695</v>
      </c>
      <c r="E119" s="2">
        <v>899.99</v>
      </c>
      <c r="F119" s="1" t="s">
        <v>81</v>
      </c>
      <c r="G119" s="1" t="s">
        <v>1161</v>
      </c>
      <c r="H119" s="1" t="s">
        <v>82</v>
      </c>
      <c r="I119" s="1" t="s">
        <v>14</v>
      </c>
      <c r="J119" s="1" t="s">
        <v>317</v>
      </c>
      <c r="K119" s="1" t="s">
        <v>25</v>
      </c>
      <c r="L119" s="1" t="s">
        <v>17</v>
      </c>
      <c r="M119" s="1" t="s">
        <v>18</v>
      </c>
      <c r="N119" s="1" t="s">
        <v>17</v>
      </c>
      <c r="O119" s="1" t="s">
        <v>17</v>
      </c>
      <c r="P119" s="1" t="s">
        <v>20</v>
      </c>
    </row>
    <row r="120" spans="1:16" x14ac:dyDescent="0.35">
      <c r="A120" s="1">
        <v>50310932</v>
      </c>
      <c r="B120" s="1" t="str">
        <f>_xlfn.XLOOKUP(A120,Sheet1!A:A,Sheet1!D:D,"")</f>
        <v>SIMMONS KIDS DELIGHT</v>
      </c>
      <c r="C120" s="1" t="s">
        <v>346</v>
      </c>
      <c r="D120" s="2">
        <f>_xlfn.XLOOKUP(A120,Sheet1!A:A,Sheet1!C:C,"")</f>
        <v>277</v>
      </c>
      <c r="E120" s="2">
        <v>299</v>
      </c>
      <c r="F120" s="1" t="s">
        <v>239</v>
      </c>
      <c r="G120" s="1" t="s">
        <v>1161</v>
      </c>
      <c r="H120" s="1" t="s">
        <v>240</v>
      </c>
      <c r="I120" s="1" t="s">
        <v>41</v>
      </c>
      <c r="J120" s="1" t="s">
        <v>317</v>
      </c>
      <c r="K120" s="1" t="s">
        <v>16</v>
      </c>
      <c r="L120" s="1" t="s">
        <v>89</v>
      </c>
      <c r="M120" s="1" t="s">
        <v>22</v>
      </c>
      <c r="N120" s="1" t="s">
        <v>19</v>
      </c>
      <c r="O120" s="1" t="s">
        <v>19</v>
      </c>
      <c r="P120" s="1" t="s">
        <v>23</v>
      </c>
    </row>
    <row r="121" spans="1:16" x14ac:dyDescent="0.35">
      <c r="A121" s="1">
        <v>50310944</v>
      </c>
      <c r="B121" s="1" t="str">
        <f>_xlfn.XLOOKUP(A121,Sheet1!A:A,Sheet1!D:D,"")</f>
        <v>SIMMONS KIDS GLAD</v>
      </c>
      <c r="C121" s="1" t="s">
        <v>347</v>
      </c>
      <c r="D121" s="2">
        <f>_xlfn.XLOOKUP(A121,Sheet1!A:A,Sheet1!C:C,"")</f>
        <v>377</v>
      </c>
      <c r="E121" s="2">
        <v>399</v>
      </c>
      <c r="F121" s="1" t="s">
        <v>239</v>
      </c>
      <c r="G121" s="1" t="s">
        <v>1161</v>
      </c>
      <c r="H121" s="1" t="s">
        <v>242</v>
      </c>
      <c r="I121" s="1" t="s">
        <v>41</v>
      </c>
      <c r="J121" s="1" t="s">
        <v>317</v>
      </c>
      <c r="K121" s="1" t="s">
        <v>16</v>
      </c>
      <c r="L121" s="1" t="s">
        <v>17</v>
      </c>
      <c r="M121" s="1" t="s">
        <v>18</v>
      </c>
      <c r="N121" s="1" t="s">
        <v>19</v>
      </c>
      <c r="O121" s="1" t="s">
        <v>19</v>
      </c>
      <c r="P121" s="1" t="s">
        <v>20</v>
      </c>
    </row>
    <row r="122" spans="1:16" x14ac:dyDescent="0.35">
      <c r="A122" s="1">
        <v>50310956</v>
      </c>
      <c r="B122" s="1" t="str">
        <f>_xlfn.XLOOKUP(A122,Sheet1!A:A,Sheet1!D:D,"")</f>
        <v>SIMMONS KIDS HAPPY</v>
      </c>
      <c r="C122" s="1" t="s">
        <v>348</v>
      </c>
      <c r="D122" s="2">
        <f>_xlfn.XLOOKUP(A122,Sheet1!A:A,Sheet1!C:C,"")</f>
        <v>427</v>
      </c>
      <c r="E122" s="2">
        <v>449</v>
      </c>
      <c r="F122" s="1" t="s">
        <v>239</v>
      </c>
      <c r="G122" s="1" t="s">
        <v>1161</v>
      </c>
      <c r="H122" s="1" t="s">
        <v>244</v>
      </c>
      <c r="I122" s="1" t="s">
        <v>41</v>
      </c>
      <c r="J122" s="1" t="s">
        <v>317</v>
      </c>
      <c r="K122" s="1" t="s">
        <v>39</v>
      </c>
      <c r="L122" s="1" t="s">
        <v>17</v>
      </c>
      <c r="M122" s="1" t="s">
        <v>22</v>
      </c>
      <c r="N122" s="1" t="s">
        <v>19</v>
      </c>
      <c r="O122" s="1" t="s">
        <v>17</v>
      </c>
      <c r="P122" s="1" t="s">
        <v>23</v>
      </c>
    </row>
    <row r="123" spans="1:16" x14ac:dyDescent="0.35">
      <c r="A123" s="1">
        <v>50311059</v>
      </c>
      <c r="B123" s="1" t="str">
        <f>_xlfn.XLOOKUP(A123,Sheet1!A:A,Sheet1!D:D,"")</f>
        <v>BAY DREAMER</v>
      </c>
      <c r="C123" s="1" t="s">
        <v>350</v>
      </c>
      <c r="D123" s="2">
        <f>_xlfn.XLOOKUP(A123,Sheet1!A:A,Sheet1!C:C,"")</f>
        <v>495</v>
      </c>
      <c r="E123" s="2">
        <v>599.99</v>
      </c>
      <c r="F123" s="1" t="s">
        <v>84</v>
      </c>
      <c r="G123" s="1" t="s">
        <v>1161</v>
      </c>
      <c r="H123" s="1" t="s">
        <v>247</v>
      </c>
      <c r="I123" s="1" t="s">
        <v>41</v>
      </c>
      <c r="J123" s="1" t="s">
        <v>317</v>
      </c>
      <c r="K123" s="1" t="s">
        <v>39</v>
      </c>
      <c r="L123" s="1" t="s">
        <v>19</v>
      </c>
      <c r="M123" s="1" t="s">
        <v>31</v>
      </c>
      <c r="N123" s="1" t="s">
        <v>28</v>
      </c>
      <c r="O123" s="1" t="s">
        <v>19</v>
      </c>
      <c r="P123" s="1" t="s">
        <v>33</v>
      </c>
    </row>
    <row r="124" spans="1:16" x14ac:dyDescent="0.35">
      <c r="A124" s="1">
        <v>50311061</v>
      </c>
      <c r="B124" s="1" t="str">
        <f>_xlfn.XLOOKUP(A124,Sheet1!A:A,Sheet1!D:D,"")</f>
        <v>MAKE WAVES</v>
      </c>
      <c r="C124" s="1" t="s">
        <v>351</v>
      </c>
      <c r="D124" s="2">
        <f>_xlfn.XLOOKUP(A124,Sheet1!A:A,Sheet1!C:C,"")</f>
        <v>545</v>
      </c>
      <c r="E124" s="2">
        <v>649.99</v>
      </c>
      <c r="F124" s="1" t="s">
        <v>84</v>
      </c>
      <c r="G124" s="1" t="s">
        <v>1161</v>
      </c>
      <c r="H124" s="1" t="s">
        <v>249</v>
      </c>
      <c r="I124" s="1" t="s">
        <v>41</v>
      </c>
      <c r="J124" s="1" t="s">
        <v>317</v>
      </c>
      <c r="K124" s="1" t="s">
        <v>25</v>
      </c>
      <c r="L124" s="1" t="s">
        <v>19</v>
      </c>
      <c r="M124" s="1" t="s">
        <v>22</v>
      </c>
      <c r="N124" s="1" t="s">
        <v>28</v>
      </c>
      <c r="O124" s="1" t="s">
        <v>19</v>
      </c>
      <c r="P124" s="1" t="s">
        <v>23</v>
      </c>
    </row>
    <row r="125" spans="1:16" x14ac:dyDescent="0.35">
      <c r="A125" s="1">
        <v>50311073</v>
      </c>
      <c r="B125" s="1" t="str">
        <f>_xlfn.XLOOKUP(A125,Sheet1!A:A,Sheet1!D:D,"")</f>
        <v>SEASIDE SERENITY</v>
      </c>
      <c r="C125" s="1" t="s">
        <v>352</v>
      </c>
      <c r="D125" s="2">
        <f>_xlfn.XLOOKUP(A125,Sheet1!A:A,Sheet1!C:C,"")</f>
        <v>645</v>
      </c>
      <c r="E125" s="2">
        <v>749.99</v>
      </c>
      <c r="F125" s="1" t="s">
        <v>84</v>
      </c>
      <c r="G125" s="1" t="s">
        <v>1161</v>
      </c>
      <c r="H125" s="1" t="s">
        <v>251</v>
      </c>
      <c r="I125" s="1" t="s">
        <v>41</v>
      </c>
      <c r="J125" s="1" t="s">
        <v>317</v>
      </c>
      <c r="K125" s="1" t="s">
        <v>39</v>
      </c>
      <c r="L125" s="1" t="s">
        <v>19</v>
      </c>
      <c r="M125" s="1" t="s">
        <v>18</v>
      </c>
      <c r="N125" s="1" t="s">
        <v>28</v>
      </c>
      <c r="O125" s="1" t="s">
        <v>19</v>
      </c>
      <c r="P125" s="1" t="s">
        <v>20</v>
      </c>
    </row>
    <row r="126" spans="1:16" x14ac:dyDescent="0.35">
      <c r="A126" s="1">
        <v>50311148</v>
      </c>
      <c r="B126" s="1" t="str">
        <f>_xlfn.XLOOKUP(A126,Sheet1!A:A,Sheet1!D:D,"")</f>
        <v>ALDER</v>
      </c>
      <c r="C126" s="1" t="s">
        <v>353</v>
      </c>
      <c r="D126" s="2">
        <f>_xlfn.XLOOKUP(A126,Sheet1!A:A,Sheet1!C:C,"")</f>
        <v>199</v>
      </c>
      <c r="E126" s="2">
        <v>299.99</v>
      </c>
      <c r="F126" s="1" t="s">
        <v>88</v>
      </c>
      <c r="G126" s="1" t="s">
        <v>1161</v>
      </c>
      <c r="H126" s="1" t="s">
        <v>253</v>
      </c>
      <c r="I126" s="1" t="s">
        <v>41</v>
      </c>
      <c r="J126" s="1" t="s">
        <v>317</v>
      </c>
      <c r="K126" s="1" t="s">
        <v>16</v>
      </c>
      <c r="L126" s="1" t="s">
        <v>19</v>
      </c>
      <c r="M126" s="1" t="s">
        <v>18</v>
      </c>
      <c r="N126" s="1" t="s">
        <v>89</v>
      </c>
      <c r="O126" s="1" t="s">
        <v>89</v>
      </c>
      <c r="P126" s="1" t="s">
        <v>20</v>
      </c>
    </row>
    <row r="127" spans="1:16" x14ac:dyDescent="0.35">
      <c r="A127" s="1">
        <v>50311162</v>
      </c>
      <c r="B127" s="1" t="str">
        <f>_xlfn.XLOOKUP(A127,Sheet1!A:A,Sheet1!D:D,"")</f>
        <v>CREEKMORE</v>
      </c>
      <c r="C127" s="1" t="s">
        <v>355</v>
      </c>
      <c r="D127" s="2">
        <f>_xlfn.XLOOKUP(A127,Sheet1!A:A,Sheet1!C:C,"")</f>
        <v>477</v>
      </c>
      <c r="E127" s="2">
        <v>499.99</v>
      </c>
      <c r="F127" s="1" t="s">
        <v>88</v>
      </c>
      <c r="G127" s="1" t="s">
        <v>1161</v>
      </c>
      <c r="H127" s="1" t="s">
        <v>256</v>
      </c>
      <c r="I127" s="1" t="s">
        <v>41</v>
      </c>
      <c r="J127" s="1" t="s">
        <v>317</v>
      </c>
      <c r="K127" s="1" t="s">
        <v>16</v>
      </c>
      <c r="L127" s="1" t="s">
        <v>17</v>
      </c>
      <c r="M127" s="1" t="s">
        <v>31</v>
      </c>
      <c r="N127" s="1" t="s">
        <v>19</v>
      </c>
      <c r="O127" s="1" t="s">
        <v>19</v>
      </c>
      <c r="P127" s="1" t="s">
        <v>33</v>
      </c>
    </row>
    <row r="128" spans="1:16" x14ac:dyDescent="0.35">
      <c r="A128" s="1">
        <v>50311174</v>
      </c>
      <c r="B128" s="1" t="str">
        <f>_xlfn.XLOOKUP(A128,Sheet1!A:A,Sheet1!D:D,"")</f>
        <v>FLOURISH</v>
      </c>
      <c r="C128" s="1" t="s">
        <v>356</v>
      </c>
      <c r="D128" s="2">
        <f>_xlfn.XLOOKUP(A128,Sheet1!A:A,Sheet1!C:C,"")</f>
        <v>627</v>
      </c>
      <c r="E128" s="2">
        <v>649.99</v>
      </c>
      <c r="F128" s="1" t="s">
        <v>88</v>
      </c>
      <c r="G128" s="1" t="s">
        <v>1161</v>
      </c>
      <c r="H128" s="1" t="s">
        <v>258</v>
      </c>
      <c r="I128" s="1" t="s">
        <v>41</v>
      </c>
      <c r="J128" s="1" t="s">
        <v>317</v>
      </c>
      <c r="K128" s="1" t="s">
        <v>16</v>
      </c>
      <c r="L128" s="1" t="s">
        <v>28</v>
      </c>
      <c r="M128" s="1" t="s">
        <v>18</v>
      </c>
      <c r="N128" s="1" t="s">
        <v>89</v>
      </c>
      <c r="O128" s="1" t="s">
        <v>19</v>
      </c>
      <c r="P128" s="1" t="s">
        <v>20</v>
      </c>
    </row>
    <row r="129" spans="1:16" x14ac:dyDescent="0.35">
      <c r="A129" s="1">
        <v>50311237</v>
      </c>
      <c r="B129" s="1" t="str">
        <f>_xlfn.XLOOKUP(A129,Sheet1!A:A,Sheet1!D:D,"")</f>
        <v>HAMEL</v>
      </c>
      <c r="C129" s="1" t="s">
        <v>358</v>
      </c>
      <c r="D129" s="2">
        <f>_xlfn.XLOOKUP(A129,Sheet1!A:A,Sheet1!C:C,"")</f>
        <v>377</v>
      </c>
      <c r="E129" s="2">
        <v>399.99</v>
      </c>
      <c r="F129" s="1" t="s">
        <v>88</v>
      </c>
      <c r="G129" s="1" t="s">
        <v>1161</v>
      </c>
      <c r="H129" s="1" t="s">
        <v>261</v>
      </c>
      <c r="I129" s="1" t="s">
        <v>41</v>
      </c>
      <c r="J129" s="1" t="s">
        <v>317</v>
      </c>
      <c r="K129" s="1" t="s">
        <v>39</v>
      </c>
      <c r="L129" s="1" t="s">
        <v>17</v>
      </c>
      <c r="M129" s="1" t="s">
        <v>31</v>
      </c>
      <c r="N129" s="1" t="s">
        <v>28</v>
      </c>
      <c r="O129" s="1" t="s">
        <v>19</v>
      </c>
      <c r="P129" s="1" t="s">
        <v>33</v>
      </c>
    </row>
    <row r="130" spans="1:16" x14ac:dyDescent="0.35">
      <c r="A130" s="1">
        <v>50311263</v>
      </c>
      <c r="B130" s="1" t="str">
        <f>_xlfn.XLOOKUP(A130,Sheet1!A:A,Sheet1!D:D,"")</f>
        <v>IMPREZA</v>
      </c>
      <c r="C130" s="1" t="s">
        <v>361</v>
      </c>
      <c r="D130" s="2">
        <f>_xlfn.XLOOKUP(A130,Sheet1!A:A,Sheet1!C:C,"")</f>
        <v>477</v>
      </c>
      <c r="E130" s="2">
        <v>499.99</v>
      </c>
      <c r="F130" s="1" t="s">
        <v>88</v>
      </c>
      <c r="G130" s="1" t="s">
        <v>1161</v>
      </c>
      <c r="H130" s="1" t="s">
        <v>265</v>
      </c>
      <c r="I130" s="1" t="s">
        <v>41</v>
      </c>
      <c r="J130" s="1" t="s">
        <v>317</v>
      </c>
      <c r="K130" s="1" t="s">
        <v>39</v>
      </c>
      <c r="L130" s="1" t="s">
        <v>17</v>
      </c>
      <c r="M130" s="1" t="s">
        <v>18</v>
      </c>
      <c r="N130" s="1" t="s">
        <v>17</v>
      </c>
      <c r="O130" s="1" t="s">
        <v>89</v>
      </c>
      <c r="P130" s="1" t="s">
        <v>20</v>
      </c>
    </row>
    <row r="131" spans="1:16" x14ac:dyDescent="0.35">
      <c r="A131" s="1">
        <v>50311340</v>
      </c>
      <c r="B131" s="1" t="str">
        <f>_xlfn.XLOOKUP(A131,Sheet1!A:A,Sheet1!D:D,"")</f>
        <v>FORESTER</v>
      </c>
      <c r="C131" s="1" t="s">
        <v>367</v>
      </c>
      <c r="D131" s="2">
        <f>_xlfn.XLOOKUP(A131,Sheet1!A:A,Sheet1!C:C,"")</f>
        <v>677</v>
      </c>
      <c r="E131" s="2">
        <v>879.99</v>
      </c>
      <c r="F131" s="1" t="s">
        <v>93</v>
      </c>
      <c r="G131" s="1" t="s">
        <v>1161</v>
      </c>
      <c r="I131" s="1" t="s">
        <v>14</v>
      </c>
      <c r="J131" s="1" t="s">
        <v>317</v>
      </c>
      <c r="K131" s="1" t="s">
        <v>39</v>
      </c>
      <c r="L131" s="1" t="s">
        <v>19</v>
      </c>
      <c r="M131" s="1" t="s">
        <v>22</v>
      </c>
      <c r="N131" s="1" t="s">
        <v>17</v>
      </c>
      <c r="O131" s="1" t="s">
        <v>19</v>
      </c>
      <c r="P131" s="1" t="s">
        <v>98</v>
      </c>
    </row>
    <row r="132" spans="1:16" x14ac:dyDescent="0.35">
      <c r="A132" s="1">
        <v>50311364</v>
      </c>
      <c r="B132" s="1" t="str">
        <f>_xlfn.XLOOKUP(A132,Sheet1!A:A,Sheet1!D:D,"")</f>
        <v>DARLINGTON</v>
      </c>
      <c r="C132" s="1" t="s">
        <v>368</v>
      </c>
      <c r="D132" s="2">
        <f>_xlfn.XLOOKUP(A132,Sheet1!A:A,Sheet1!C:C,"")</f>
        <v>577</v>
      </c>
      <c r="E132" s="2">
        <v>679.99</v>
      </c>
      <c r="F132" s="1" t="s">
        <v>93</v>
      </c>
      <c r="G132" s="1" t="s">
        <v>1161</v>
      </c>
      <c r="I132" s="1" t="s">
        <v>14</v>
      </c>
      <c r="J132" s="1" t="s">
        <v>317</v>
      </c>
      <c r="K132" s="1" t="s">
        <v>39</v>
      </c>
      <c r="L132" s="1" t="s">
        <v>19</v>
      </c>
      <c r="M132" s="1" t="s">
        <v>18</v>
      </c>
      <c r="N132" s="1" t="s">
        <v>19</v>
      </c>
      <c r="O132" s="1" t="s">
        <v>17</v>
      </c>
      <c r="P132" s="1" t="s">
        <v>20</v>
      </c>
    </row>
    <row r="133" spans="1:16" x14ac:dyDescent="0.35">
      <c r="A133" s="1">
        <v>50322216</v>
      </c>
      <c r="B133" s="1" t="str">
        <f>_xlfn.XLOOKUP(A133,Sheet1!A:A,Sheet1!D:D,"")</f>
        <v>OCEANA MIST</v>
      </c>
      <c r="C133" s="1" t="s">
        <v>372</v>
      </c>
      <c r="D133" s="2">
        <f>_xlfn.XLOOKUP(A133,Sheet1!A:A,Sheet1!C:C,"")</f>
        <v>377</v>
      </c>
      <c r="E133" s="2">
        <v>679.99</v>
      </c>
      <c r="F133" s="1" t="s">
        <v>117</v>
      </c>
      <c r="G133" s="1" t="s">
        <v>1161</v>
      </c>
      <c r="H133" s="1" t="s">
        <v>118</v>
      </c>
      <c r="I133" s="1" t="s">
        <v>14</v>
      </c>
      <c r="J133" s="1" t="s">
        <v>317</v>
      </c>
      <c r="K133" s="1" t="s">
        <v>25</v>
      </c>
      <c r="L133" s="1" t="s">
        <v>19</v>
      </c>
      <c r="M133" s="1" t="s">
        <v>18</v>
      </c>
      <c r="N133" s="1" t="s">
        <v>17</v>
      </c>
      <c r="O133" s="1" t="s">
        <v>19</v>
      </c>
      <c r="P133" s="1" t="s">
        <v>20</v>
      </c>
    </row>
    <row r="134" spans="1:16" x14ac:dyDescent="0.35">
      <c r="A134" s="1">
        <v>50325743</v>
      </c>
      <c r="B134" s="1" t="str">
        <f>_xlfn.XLOOKUP(A134,Sheet1!A:A,Sheet1!D:D,"")</f>
        <v>LEVEL THREE PLUSH</v>
      </c>
      <c r="C134" s="1" t="s">
        <v>374</v>
      </c>
      <c r="D134" s="2">
        <f>_xlfn.XLOOKUP(A134,Sheet1!A:A,Sheet1!C:C,"")</f>
        <v>1379</v>
      </c>
      <c r="E134" s="2">
        <v>1379</v>
      </c>
      <c r="F134" s="1" t="s">
        <v>121</v>
      </c>
      <c r="H134" s="1" t="s">
        <v>122</v>
      </c>
      <c r="I134" s="1" t="s">
        <v>14</v>
      </c>
      <c r="J134" s="1" t="s">
        <v>317</v>
      </c>
      <c r="K134" s="1" t="s">
        <v>39</v>
      </c>
      <c r="L134" s="1" t="s">
        <v>28</v>
      </c>
      <c r="M134" s="1" t="s">
        <v>31</v>
      </c>
      <c r="N134" s="1" t="s">
        <v>28</v>
      </c>
      <c r="O134" s="1" t="s">
        <v>28</v>
      </c>
      <c r="P134" s="1" t="s">
        <v>33</v>
      </c>
    </row>
    <row r="135" spans="1:16" x14ac:dyDescent="0.35">
      <c r="A135" s="1">
        <v>50325755</v>
      </c>
      <c r="B135" s="1" t="str">
        <f>_xlfn.XLOOKUP(A135,Sheet1!A:A,Sheet1!D:D,"")</f>
        <v>LEVEL THREE MEDIUM PILLOWTOP</v>
      </c>
      <c r="C135" s="1" t="s">
        <v>375</v>
      </c>
      <c r="D135" s="2">
        <f>_xlfn.XLOOKUP(A135,Sheet1!A:A,Sheet1!C:C,"")</f>
        <v>1579</v>
      </c>
      <c r="E135" s="2">
        <v>1579</v>
      </c>
      <c r="F135" s="1" t="s">
        <v>121</v>
      </c>
      <c r="H135" s="1" t="s">
        <v>124</v>
      </c>
      <c r="I135" s="1" t="s">
        <v>14</v>
      </c>
      <c r="J135" s="1" t="s">
        <v>317</v>
      </c>
      <c r="K135" s="1" t="s">
        <v>39</v>
      </c>
      <c r="L135" s="1" t="s">
        <v>28</v>
      </c>
      <c r="M135" s="1" t="s">
        <v>18</v>
      </c>
      <c r="N135" s="1" t="s">
        <v>28</v>
      </c>
      <c r="O135" s="1" t="s">
        <v>28</v>
      </c>
      <c r="P135" s="1" t="s">
        <v>20</v>
      </c>
    </row>
    <row r="136" spans="1:16" x14ac:dyDescent="0.35">
      <c r="A136" s="1">
        <v>50325806</v>
      </c>
      <c r="B136" s="1" t="str">
        <f>_xlfn.XLOOKUP(A136,Sheet1!A:A,Sheet1!D:D,"")</f>
        <v>LEVEL FOUR PLUSH PILLOWTOP</v>
      </c>
      <c r="C136" s="1" t="s">
        <v>376</v>
      </c>
      <c r="D136" s="2">
        <f>_xlfn.XLOOKUP(A136,Sheet1!A:A,Sheet1!C:C,"")</f>
        <v>1879</v>
      </c>
      <c r="E136" s="2">
        <v>1879</v>
      </c>
      <c r="F136" s="1" t="s">
        <v>121</v>
      </c>
      <c r="H136" s="1" t="s">
        <v>126</v>
      </c>
      <c r="I136" s="1" t="s">
        <v>14</v>
      </c>
      <c r="J136" s="1" t="s">
        <v>317</v>
      </c>
      <c r="K136" s="1" t="s">
        <v>39</v>
      </c>
      <c r="L136" s="1" t="s">
        <v>32</v>
      </c>
      <c r="M136" s="1" t="s">
        <v>31</v>
      </c>
      <c r="N136" s="1" t="s">
        <v>28</v>
      </c>
      <c r="O136" s="1" t="s">
        <v>28</v>
      </c>
      <c r="P136" s="1" t="s">
        <v>33</v>
      </c>
    </row>
    <row r="137" spans="1:16" x14ac:dyDescent="0.35">
      <c r="A137" s="1">
        <v>50328953</v>
      </c>
      <c r="B137" s="1" t="str">
        <f>_xlfn.XLOOKUP(A137,Sheet1!A:A,Sheet1!D:D,"")</f>
        <v>KERRY PARK</v>
      </c>
      <c r="C137" s="1" t="s">
        <v>377</v>
      </c>
      <c r="D137" s="2">
        <f>_xlfn.XLOOKUP(A137,Sheet1!A:A,Sheet1!C:C,"")</f>
        <v>877</v>
      </c>
      <c r="E137" s="2">
        <v>1479</v>
      </c>
      <c r="F137" s="1" t="s">
        <v>128</v>
      </c>
      <c r="G137" s="1" t="s">
        <v>1161</v>
      </c>
      <c r="I137" s="1" t="s">
        <v>14</v>
      </c>
      <c r="J137" s="1" t="s">
        <v>317</v>
      </c>
      <c r="K137" s="1" t="s">
        <v>39</v>
      </c>
      <c r="L137" s="1" t="s">
        <v>28</v>
      </c>
      <c r="M137" s="1" t="s">
        <v>31</v>
      </c>
      <c r="N137" s="1" t="s">
        <v>17</v>
      </c>
      <c r="O137" s="1" t="s">
        <v>17</v>
      </c>
      <c r="P137" s="1" t="s">
        <v>100</v>
      </c>
    </row>
    <row r="138" spans="1:16" x14ac:dyDescent="0.35">
      <c r="A138" s="1">
        <v>50328965</v>
      </c>
      <c r="B138" s="1" t="str">
        <f>_xlfn.XLOOKUP(A138,Sheet1!A:A,Sheet1!D:D,"")</f>
        <v>BRADFORD HILL</v>
      </c>
      <c r="C138" s="1" t="s">
        <v>378</v>
      </c>
      <c r="D138" s="2">
        <f>_xlfn.XLOOKUP(A138,Sheet1!A:A,Sheet1!C:C,"")</f>
        <v>645</v>
      </c>
      <c r="E138" s="2">
        <v>749</v>
      </c>
      <c r="F138" s="1" t="s">
        <v>128</v>
      </c>
      <c r="G138" s="1" t="s">
        <v>1161</v>
      </c>
      <c r="I138" s="1" t="s">
        <v>14</v>
      </c>
      <c r="J138" s="1" t="s">
        <v>317</v>
      </c>
      <c r="K138" s="1" t="s">
        <v>16</v>
      </c>
      <c r="L138" s="1" t="s">
        <v>17</v>
      </c>
      <c r="M138" s="1" t="s">
        <v>18</v>
      </c>
      <c r="N138" s="1" t="s">
        <v>17</v>
      </c>
      <c r="O138" s="1" t="s">
        <v>19</v>
      </c>
      <c r="P138" s="1" t="s">
        <v>20</v>
      </c>
    </row>
    <row r="139" spans="1:16" x14ac:dyDescent="0.35">
      <c r="A139" s="1">
        <v>50329171</v>
      </c>
      <c r="B139" s="1" t="str">
        <f>_xlfn.XLOOKUP(A139,Sheet1!A:A,Sheet1!D:D,"")</f>
        <v>BRIERWOOD</v>
      </c>
      <c r="C139" s="1" t="s">
        <v>379</v>
      </c>
      <c r="D139" s="2">
        <f>_xlfn.XLOOKUP(A139,Sheet1!A:A,Sheet1!C:C,"")</f>
        <v>627</v>
      </c>
      <c r="E139" s="2">
        <v>749</v>
      </c>
      <c r="F139" s="1" t="s">
        <v>134</v>
      </c>
      <c r="G139" s="1" t="s">
        <v>1161</v>
      </c>
      <c r="H139" s="1" t="s">
        <v>135</v>
      </c>
      <c r="I139" s="1" t="s">
        <v>14</v>
      </c>
      <c r="J139" s="1" t="s">
        <v>317</v>
      </c>
      <c r="K139" s="1" t="s">
        <v>39</v>
      </c>
      <c r="L139" s="1" t="s">
        <v>19</v>
      </c>
      <c r="M139" s="1" t="s">
        <v>18</v>
      </c>
      <c r="N139" s="1" t="s">
        <v>19</v>
      </c>
      <c r="O139" s="1" t="s">
        <v>19</v>
      </c>
      <c r="P139" s="1" t="s">
        <v>20</v>
      </c>
    </row>
    <row r="140" spans="1:16" x14ac:dyDescent="0.35">
      <c r="A140" s="1">
        <v>50329208</v>
      </c>
      <c r="B140" s="1" t="str">
        <f>_xlfn.XLOOKUP(A140,Sheet1!A:A,Sheet1!D:D,"")</f>
        <v>CASTLE ROCK</v>
      </c>
      <c r="C140" s="1" t="s">
        <v>381</v>
      </c>
      <c r="D140" s="2">
        <f>_xlfn.XLOOKUP(A140,Sheet1!A:A,Sheet1!C:C,"")</f>
        <v>947</v>
      </c>
      <c r="E140" s="2">
        <v>1149</v>
      </c>
      <c r="F140" s="1" t="s">
        <v>132</v>
      </c>
      <c r="G140" s="1" t="s">
        <v>1161</v>
      </c>
      <c r="H140" s="1" t="s">
        <v>138</v>
      </c>
      <c r="I140" s="1" t="s">
        <v>14</v>
      </c>
      <c r="J140" s="1" t="s">
        <v>317</v>
      </c>
      <c r="K140" s="1" t="s">
        <v>39</v>
      </c>
      <c r="L140" s="1" t="s">
        <v>17</v>
      </c>
      <c r="M140" s="1" t="s">
        <v>18</v>
      </c>
      <c r="N140" s="1" t="s">
        <v>17</v>
      </c>
      <c r="O140" s="1" t="s">
        <v>19</v>
      </c>
      <c r="P140" s="1" t="s">
        <v>20</v>
      </c>
    </row>
    <row r="141" spans="1:16" x14ac:dyDescent="0.35">
      <c r="A141" s="1">
        <v>50329210</v>
      </c>
      <c r="B141" s="1" t="str">
        <f>_xlfn.XLOOKUP(A141,Sheet1!A:A,Sheet1!D:D,"")</f>
        <v>PEBBLEBROOK</v>
      </c>
      <c r="C141" s="1" t="s">
        <v>382</v>
      </c>
      <c r="D141" s="2">
        <f>_xlfn.XLOOKUP(A141,Sheet1!A:A,Sheet1!C:C,"")</f>
        <v>1027</v>
      </c>
      <c r="E141" s="2">
        <v>1249</v>
      </c>
      <c r="F141" s="1" t="s">
        <v>140</v>
      </c>
      <c r="H141" s="1" t="s">
        <v>141</v>
      </c>
      <c r="I141" s="1" t="s">
        <v>14</v>
      </c>
      <c r="J141" s="1" t="s">
        <v>317</v>
      </c>
      <c r="K141" s="1" t="s">
        <v>39</v>
      </c>
      <c r="L141" s="1" t="s">
        <v>17</v>
      </c>
      <c r="M141" s="1" t="s">
        <v>18</v>
      </c>
      <c r="N141" s="1" t="s">
        <v>28</v>
      </c>
      <c r="O141" s="1" t="s">
        <v>17</v>
      </c>
      <c r="P141" s="1" t="s">
        <v>20</v>
      </c>
    </row>
    <row r="142" spans="1:16" x14ac:dyDescent="0.35">
      <c r="A142" s="1">
        <v>50334110</v>
      </c>
      <c r="B142" s="1" t="str">
        <f>_xlfn.XLOOKUP(A142,Sheet1!A:A,Sheet1!D:D,"")</f>
        <v>TEMPUR-KIDS</v>
      </c>
      <c r="C142" s="1" t="s">
        <v>386</v>
      </c>
      <c r="D142" s="2">
        <f>_xlfn.XLOOKUP(A142,Sheet1!A:A,Sheet1!C:C,"")</f>
        <v>799</v>
      </c>
      <c r="E142" s="2">
        <v>899</v>
      </c>
      <c r="F142" s="1" t="s">
        <v>46</v>
      </c>
      <c r="H142" s="1" t="s">
        <v>290</v>
      </c>
      <c r="I142" s="1" t="s">
        <v>41</v>
      </c>
      <c r="J142" s="1" t="s">
        <v>317</v>
      </c>
      <c r="K142" s="1" t="s">
        <v>16</v>
      </c>
      <c r="L142" s="1" t="s">
        <v>32</v>
      </c>
      <c r="M142" s="1" t="s">
        <v>18</v>
      </c>
      <c r="N142" s="1" t="s">
        <v>32</v>
      </c>
      <c r="O142" s="1" t="s">
        <v>19</v>
      </c>
      <c r="P142" s="1" t="s">
        <v>20</v>
      </c>
    </row>
    <row r="143" spans="1:16" x14ac:dyDescent="0.35">
      <c r="A143" s="1">
        <v>50337053</v>
      </c>
      <c r="B143" s="1" t="str">
        <f>_xlfn.XLOOKUP(A143,Sheet1!A:A,Sheet1!D:D,"")</f>
        <v>SERIES ONE EXTRA FIRM</v>
      </c>
      <c r="C143" s="1" t="s">
        <v>387</v>
      </c>
      <c r="D143" s="2">
        <f>_xlfn.XLOOKUP(A143,Sheet1!A:A,Sheet1!C:C,"")</f>
        <v>1829</v>
      </c>
      <c r="E143" s="2">
        <v>1829</v>
      </c>
      <c r="F143" s="1" t="s">
        <v>146</v>
      </c>
      <c r="H143" s="1" t="s">
        <v>147</v>
      </c>
      <c r="I143" s="1" t="s">
        <v>14</v>
      </c>
      <c r="J143" s="1" t="s">
        <v>317</v>
      </c>
      <c r="K143" s="1" t="s">
        <v>39</v>
      </c>
      <c r="L143" s="1" t="s">
        <v>17</v>
      </c>
      <c r="M143" s="1" t="s">
        <v>22</v>
      </c>
      <c r="N143" s="1" t="s">
        <v>32</v>
      </c>
      <c r="O143" s="1" t="s">
        <v>28</v>
      </c>
      <c r="P143" s="1" t="s">
        <v>98</v>
      </c>
    </row>
    <row r="144" spans="1:16" x14ac:dyDescent="0.35">
      <c r="A144" s="1">
        <v>50337130</v>
      </c>
      <c r="B144" s="1" t="str">
        <f>_xlfn.XLOOKUP(A144,Sheet1!A:A,Sheet1!D:D,"")</f>
        <v>SERIES TWO MEDIUM</v>
      </c>
      <c r="C144" s="1" t="s">
        <v>394</v>
      </c>
      <c r="D144" s="2">
        <f>_xlfn.XLOOKUP(A144,Sheet1!A:A,Sheet1!C:C,"")</f>
        <v>2829</v>
      </c>
      <c r="E144" s="2">
        <v>2829</v>
      </c>
      <c r="F144" s="1" t="s">
        <v>146</v>
      </c>
      <c r="H144" s="1" t="s">
        <v>395</v>
      </c>
      <c r="I144" s="1" t="s">
        <v>14</v>
      </c>
      <c r="J144" s="1" t="s">
        <v>317</v>
      </c>
      <c r="K144" s="1" t="s">
        <v>39</v>
      </c>
      <c r="L144" s="1" t="s">
        <v>28</v>
      </c>
      <c r="M144" s="1" t="s">
        <v>18</v>
      </c>
      <c r="N144" s="1" t="s">
        <v>32</v>
      </c>
      <c r="O144" s="1" t="s">
        <v>28</v>
      </c>
      <c r="P144" s="1" t="s">
        <v>20</v>
      </c>
    </row>
    <row r="145" spans="1:16" x14ac:dyDescent="0.35">
      <c r="A145" s="1">
        <v>50337229</v>
      </c>
      <c r="B145" s="1" t="str">
        <f>_xlfn.XLOOKUP(A145,Sheet1!A:A,Sheet1!D:D,"")</f>
        <v>SERIES THREE PLUSH PILLOW TOP</v>
      </c>
      <c r="C145" s="1" t="s">
        <v>403</v>
      </c>
      <c r="D145" s="2">
        <f>_xlfn.XLOOKUP(A145,Sheet1!A:A,Sheet1!C:C,"")</f>
        <v>3929</v>
      </c>
      <c r="E145" s="2">
        <v>3929</v>
      </c>
      <c r="F145" s="1" t="s">
        <v>146</v>
      </c>
      <c r="H145" s="1" t="s">
        <v>163</v>
      </c>
      <c r="I145" s="1" t="s">
        <v>14</v>
      </c>
      <c r="J145" s="1" t="s">
        <v>317</v>
      </c>
      <c r="K145" s="1" t="s">
        <v>39</v>
      </c>
      <c r="L145" s="1" t="s">
        <v>32</v>
      </c>
      <c r="M145" s="1" t="s">
        <v>31</v>
      </c>
      <c r="N145" s="1" t="s">
        <v>32</v>
      </c>
      <c r="O145" s="1" t="s">
        <v>28</v>
      </c>
      <c r="P145" s="1" t="s">
        <v>33</v>
      </c>
    </row>
    <row r="146" spans="1:16" x14ac:dyDescent="0.35">
      <c r="A146" s="1">
        <v>50348032</v>
      </c>
      <c r="B146" s="1" t="str">
        <f>_xlfn.XLOOKUP(A146,Sheet1!A:A,Sheet1!D:D,"")</f>
        <v>ESTATE FIRM TT</v>
      </c>
      <c r="C146" s="1" t="s">
        <v>418</v>
      </c>
      <c r="D146" s="2">
        <f>_xlfn.XLOOKUP(A146,Sheet1!A:A,Sheet1!C:C,"")</f>
        <v>2349</v>
      </c>
      <c r="E146" s="2">
        <v>2349</v>
      </c>
      <c r="F146" s="1" t="s">
        <v>178</v>
      </c>
      <c r="H146" s="1" t="s">
        <v>182</v>
      </c>
      <c r="I146" s="1" t="s">
        <v>14</v>
      </c>
      <c r="J146" s="1" t="s">
        <v>317</v>
      </c>
      <c r="K146" s="1" t="s">
        <v>39</v>
      </c>
      <c r="L146" s="1" t="s">
        <v>17</v>
      </c>
      <c r="M146" s="1" t="s">
        <v>22</v>
      </c>
      <c r="N146" s="1" t="s">
        <v>28</v>
      </c>
      <c r="O146" s="1" t="s">
        <v>17</v>
      </c>
      <c r="P146" s="1" t="s">
        <v>23</v>
      </c>
    </row>
    <row r="147" spans="1:16" x14ac:dyDescent="0.35">
      <c r="A147" s="1">
        <v>50348056</v>
      </c>
      <c r="B147" s="1" t="str">
        <f>_xlfn.XLOOKUP(A147,Sheet1!A:A,Sheet1!D:D,"")</f>
        <v>ESTATE FIRM PT</v>
      </c>
      <c r="C147" s="1" t="s">
        <v>420</v>
      </c>
      <c r="D147" s="2">
        <f>_xlfn.XLOOKUP(A147,Sheet1!A:A,Sheet1!C:C,"")</f>
        <v>2549</v>
      </c>
      <c r="E147" s="2">
        <v>2549</v>
      </c>
      <c r="F147" s="1" t="s">
        <v>178</v>
      </c>
      <c r="H147" s="1" t="s">
        <v>182</v>
      </c>
      <c r="I147" s="1" t="s">
        <v>14</v>
      </c>
      <c r="J147" s="1" t="s">
        <v>317</v>
      </c>
      <c r="K147" s="1" t="s">
        <v>39</v>
      </c>
      <c r="L147" s="1" t="s">
        <v>17</v>
      </c>
      <c r="M147" s="1" t="s">
        <v>22</v>
      </c>
      <c r="N147" s="1" t="s">
        <v>28</v>
      </c>
      <c r="O147" s="1" t="s">
        <v>17</v>
      </c>
      <c r="P147" s="1" t="s">
        <v>23</v>
      </c>
    </row>
    <row r="148" spans="1:16" x14ac:dyDescent="0.35">
      <c r="A148" s="1">
        <v>50352574</v>
      </c>
      <c r="B148" s="1" t="str">
        <f>_xlfn.XLOOKUP(A148,Sheet1!A:A,Sheet1!D:D,"")</f>
        <v>Z-305</v>
      </c>
      <c r="C148" s="1" t="s">
        <v>423</v>
      </c>
      <c r="D148" s="2">
        <f>_xlfn.XLOOKUP(A148,Sheet1!A:A,Sheet1!C:C,"")</f>
        <v>377</v>
      </c>
      <c r="E148" s="2">
        <v>399.99</v>
      </c>
      <c r="F148" s="1" t="s">
        <v>296</v>
      </c>
      <c r="G148" s="1" t="s">
        <v>1161</v>
      </c>
      <c r="H148" s="1" t="s">
        <v>298</v>
      </c>
      <c r="I148" s="1" t="s">
        <v>41</v>
      </c>
      <c r="J148" s="1" t="s">
        <v>317</v>
      </c>
      <c r="K148" s="1" t="s">
        <v>39</v>
      </c>
      <c r="L148" s="1" t="s">
        <v>19</v>
      </c>
      <c r="M148" s="1" t="s">
        <v>18</v>
      </c>
      <c r="N148" s="1" t="s">
        <v>19</v>
      </c>
      <c r="O148" s="1" t="s">
        <v>19</v>
      </c>
      <c r="P148" s="1" t="s">
        <v>20</v>
      </c>
    </row>
    <row r="149" spans="1:16" x14ac:dyDescent="0.35">
      <c r="A149" s="1">
        <v>50352586</v>
      </c>
      <c r="B149" s="1" t="str">
        <f>_xlfn.XLOOKUP(A149,Sheet1!A:A,Sheet1!D:D,"")</f>
        <v>Z-505</v>
      </c>
      <c r="C149" s="1" t="s">
        <v>424</v>
      </c>
      <c r="D149" s="2">
        <f>_xlfn.XLOOKUP(A149,Sheet1!A:A,Sheet1!C:C,"")</f>
        <v>427</v>
      </c>
      <c r="E149" s="2">
        <v>449.99</v>
      </c>
      <c r="F149" s="1" t="s">
        <v>296</v>
      </c>
      <c r="G149" s="1" t="s">
        <v>1161</v>
      </c>
      <c r="H149" s="1" t="s">
        <v>425</v>
      </c>
      <c r="I149" s="1" t="s">
        <v>41</v>
      </c>
      <c r="J149" s="1" t="s">
        <v>317</v>
      </c>
      <c r="K149" s="1" t="s">
        <v>39</v>
      </c>
      <c r="L149" s="1" t="s">
        <v>17</v>
      </c>
      <c r="M149" s="1" t="s">
        <v>31</v>
      </c>
      <c r="N149" s="1" t="s">
        <v>17</v>
      </c>
      <c r="O149" s="1" t="s">
        <v>28</v>
      </c>
      <c r="P149" s="1" t="s">
        <v>33</v>
      </c>
    </row>
    <row r="150" spans="1:16" x14ac:dyDescent="0.35">
      <c r="A150" s="1">
        <v>50370041</v>
      </c>
      <c r="B150" s="1" t="str">
        <f>_xlfn.XLOOKUP(A150,Sheet1!A:A,Sheet1!D:D,"")</f>
        <v>HELIX KIDS</v>
      </c>
      <c r="C150" s="1" t="s">
        <v>428</v>
      </c>
      <c r="D150" s="2">
        <f>_xlfn.XLOOKUP(A150,Sheet1!A:A,Sheet1!C:C,"")</f>
        <v>799</v>
      </c>
      <c r="E150" s="2">
        <v>998.75</v>
      </c>
      <c r="F150" s="1" t="s">
        <v>201</v>
      </c>
      <c r="I150" s="1" t="s">
        <v>41</v>
      </c>
      <c r="J150" s="1" t="s">
        <v>317</v>
      </c>
      <c r="K150" s="1" t="s">
        <v>39</v>
      </c>
      <c r="L150" s="1" t="s">
        <v>28</v>
      </c>
      <c r="M150" s="1" t="s">
        <v>18</v>
      </c>
      <c r="N150" s="1" t="s">
        <v>32</v>
      </c>
      <c r="O150" s="1" t="s">
        <v>17</v>
      </c>
      <c r="P150" s="1" t="s">
        <v>294</v>
      </c>
    </row>
    <row r="151" spans="1:16" x14ac:dyDescent="0.35">
      <c r="A151" s="1">
        <v>50370116</v>
      </c>
      <c r="B151" s="1" t="str">
        <f>_xlfn.XLOOKUP(A151,Sheet1!A:A,Sheet1!D:D,"")</f>
        <v>HELIX MIDNIGHT LUXE</v>
      </c>
      <c r="C151" s="1" t="s">
        <v>430</v>
      </c>
      <c r="D151" s="2">
        <f>_xlfn.XLOOKUP(A151,Sheet1!A:A,Sheet1!C:C,"")</f>
        <v>1848</v>
      </c>
      <c r="E151" s="2">
        <v>2310</v>
      </c>
      <c r="F151" s="1" t="s">
        <v>201</v>
      </c>
      <c r="I151" s="1" t="s">
        <v>14</v>
      </c>
      <c r="J151" s="1" t="s">
        <v>317</v>
      </c>
      <c r="K151" s="1" t="s">
        <v>39</v>
      </c>
      <c r="L151" s="1" t="s">
        <v>28</v>
      </c>
      <c r="M151" s="1" t="s">
        <v>18</v>
      </c>
      <c r="N151" s="1" t="s">
        <v>28</v>
      </c>
      <c r="O151" s="1" t="s">
        <v>17</v>
      </c>
      <c r="P151" s="1" t="s">
        <v>20</v>
      </c>
    </row>
    <row r="152" spans="1:16" x14ac:dyDescent="0.35">
      <c r="A152" s="1">
        <v>50370128</v>
      </c>
      <c r="B152" s="1" t="str">
        <f>_xlfn.XLOOKUP(A152,Sheet1!A:A,Sheet1!D:D,"")</f>
        <v>HELIX MIDNIGHT ELITE</v>
      </c>
      <c r="C152" s="1" t="s">
        <v>431</v>
      </c>
      <c r="D152" s="2">
        <f>_xlfn.XLOOKUP(A152,Sheet1!A:A,Sheet1!C:C,"")</f>
        <v>2649</v>
      </c>
      <c r="E152" s="2">
        <v>3311.25</v>
      </c>
      <c r="F152" s="1" t="s">
        <v>201</v>
      </c>
      <c r="I152" s="1" t="s">
        <v>14</v>
      </c>
      <c r="J152" s="1" t="s">
        <v>317</v>
      </c>
      <c r="K152" s="1" t="s">
        <v>39</v>
      </c>
      <c r="L152" s="1" t="s">
        <v>32</v>
      </c>
      <c r="M152" s="1" t="s">
        <v>18</v>
      </c>
      <c r="N152" s="1" t="s">
        <v>28</v>
      </c>
      <c r="O152" s="1" t="s">
        <v>28</v>
      </c>
      <c r="P152" s="1" t="s">
        <v>20</v>
      </c>
    </row>
    <row r="153" spans="1:16" x14ac:dyDescent="0.35">
      <c r="A153" s="1">
        <v>50400488</v>
      </c>
      <c r="B153" s="1" t="str">
        <f>_xlfn.XLOOKUP(A153,Sheet1!A:A,Sheet1!D:D,"")</f>
        <v>BASELOGIC SILVER</v>
      </c>
      <c r="C153" s="1" t="s">
        <v>432</v>
      </c>
      <c r="D153" s="2">
        <f>_xlfn.XLOOKUP(A153,Sheet1!A:A,Sheet1!C:C,"")</f>
        <v>699</v>
      </c>
      <c r="E153" s="2">
        <v>799</v>
      </c>
      <c r="F153" s="1" t="s">
        <v>433</v>
      </c>
      <c r="H153" s="1" t="s">
        <v>434</v>
      </c>
      <c r="I153" s="1" t="s">
        <v>14</v>
      </c>
      <c r="J153" s="1" t="s">
        <v>317</v>
      </c>
    </row>
    <row r="154" spans="1:16" x14ac:dyDescent="0.35">
      <c r="A154" s="1">
        <v>50400515</v>
      </c>
      <c r="B154" s="1" t="str">
        <f>_xlfn.XLOOKUP(A154,Sheet1!A:A,Sheet1!D:D,"")</f>
        <v>BASELOGIC PLATINUM</v>
      </c>
      <c r="C154" s="1" t="s">
        <v>435</v>
      </c>
      <c r="D154" s="2">
        <f>_xlfn.XLOOKUP(A154,Sheet1!A:A,Sheet1!C:C,"")</f>
        <v>1499</v>
      </c>
      <c r="E154" s="2">
        <v>1699</v>
      </c>
      <c r="F154" s="1" t="s">
        <v>433</v>
      </c>
      <c r="H154" s="1" t="s">
        <v>436</v>
      </c>
      <c r="I154" s="1" t="s">
        <v>14</v>
      </c>
      <c r="J154" s="1" t="s">
        <v>317</v>
      </c>
    </row>
    <row r="155" spans="1:16" x14ac:dyDescent="0.35">
      <c r="A155" s="1">
        <v>50408167</v>
      </c>
      <c r="B155" s="1" t="str">
        <f>_xlfn.XLOOKUP(A155,Sheet1!A:A,Sheet1!D:D,"")</f>
        <v>TEMPUR-ERGO 3.0</v>
      </c>
      <c r="C155" s="1" t="s">
        <v>438</v>
      </c>
      <c r="D155" s="2">
        <f>_xlfn.XLOOKUP(A155,Sheet1!A:A,Sheet1!C:C,"")</f>
        <v>1699</v>
      </c>
      <c r="E155" s="2">
        <v>1699</v>
      </c>
      <c r="F155" s="1" t="s">
        <v>46</v>
      </c>
      <c r="H155" s="1" t="s">
        <v>439</v>
      </c>
      <c r="I155" s="1" t="s">
        <v>14</v>
      </c>
      <c r="J155" s="1" t="s">
        <v>317</v>
      </c>
    </row>
    <row r="156" spans="1:16" x14ac:dyDescent="0.35">
      <c r="A156" s="1">
        <v>50408181</v>
      </c>
      <c r="B156" s="1" t="str">
        <f>_xlfn.XLOOKUP(A156,Sheet1!A:A,Sheet1!D:D,"")</f>
        <v>TEMPUR-ERGO 3.0 SMART</v>
      </c>
      <c r="C156" s="1" t="s">
        <v>440</v>
      </c>
      <c r="D156" s="2">
        <f>_xlfn.XLOOKUP(A156,Sheet1!A:A,Sheet1!C:C,"")</f>
        <v>2199</v>
      </c>
      <c r="E156" s="2">
        <v>2199</v>
      </c>
      <c r="F156" s="1" t="s">
        <v>46</v>
      </c>
      <c r="H156" s="1" t="s">
        <v>441</v>
      </c>
      <c r="I156" s="1" t="s">
        <v>14</v>
      </c>
      <c r="J156" s="1" t="s">
        <v>317</v>
      </c>
    </row>
    <row r="157" spans="1:16" x14ac:dyDescent="0.35">
      <c r="A157" s="1">
        <v>50418601</v>
      </c>
      <c r="B157" s="1" t="str">
        <f>_xlfn.XLOOKUP(A157,Sheet1!A:A,Sheet1!D:D,"")</f>
        <v>EASE 4.0</v>
      </c>
      <c r="C157" s="1" t="s">
        <v>442</v>
      </c>
      <c r="D157" s="2">
        <f>_xlfn.XLOOKUP(A157,Sheet1!A:A,Sheet1!C:C,"")</f>
        <v>999</v>
      </c>
      <c r="E157" s="2">
        <v>999</v>
      </c>
      <c r="F157" s="1" t="s">
        <v>443</v>
      </c>
      <c r="H157" s="1" t="s">
        <v>310</v>
      </c>
      <c r="I157" s="1" t="s">
        <v>14</v>
      </c>
      <c r="J157" s="1" t="s">
        <v>317</v>
      </c>
    </row>
    <row r="158" spans="1:16" x14ac:dyDescent="0.35">
      <c r="A158" s="1">
        <v>50500543</v>
      </c>
      <c r="B158" s="1" t="str">
        <f>_xlfn.XLOOKUP(A158,Sheet1!A:A,Sheet1!D:D,"")</f>
        <v>CASPER CLOUD ONE</v>
      </c>
      <c r="C158" s="1" t="s">
        <v>450</v>
      </c>
      <c r="D158" s="2">
        <f>_xlfn.XLOOKUP(A158,Sheet1!A:A,Sheet1!C:C,"")</f>
        <v>999</v>
      </c>
      <c r="E158" s="2">
        <v>1249</v>
      </c>
      <c r="F158" s="1" t="s">
        <v>13</v>
      </c>
      <c r="I158" s="1" t="s">
        <v>14</v>
      </c>
      <c r="J158" s="1" t="s">
        <v>451</v>
      </c>
      <c r="K158" s="1" t="s">
        <v>16</v>
      </c>
      <c r="L158" s="1" t="s">
        <v>17</v>
      </c>
      <c r="M158" s="1" t="s">
        <v>18</v>
      </c>
      <c r="N158" s="1" t="s">
        <v>17</v>
      </c>
      <c r="O158" s="1" t="s">
        <v>19</v>
      </c>
      <c r="P158" s="1" t="s">
        <v>20</v>
      </c>
    </row>
    <row r="159" spans="1:16" x14ac:dyDescent="0.35">
      <c r="A159" s="1">
        <v>50500579</v>
      </c>
      <c r="B159" s="1" t="str">
        <f>_xlfn.XLOOKUP(A159,Sheet1!A:A,Sheet1!D:D,"")</f>
        <v>CASPER SNOW 2.0</v>
      </c>
      <c r="C159" s="1" t="s">
        <v>454</v>
      </c>
      <c r="D159" s="2">
        <f>_xlfn.XLOOKUP(A159,Sheet1!A:A,Sheet1!C:C,"")</f>
        <v>2075</v>
      </c>
      <c r="E159" s="2">
        <v>2595</v>
      </c>
      <c r="F159" s="1" t="s">
        <v>13</v>
      </c>
      <c r="H159" s="1" t="s">
        <v>27</v>
      </c>
      <c r="I159" s="1" t="s">
        <v>14</v>
      </c>
      <c r="J159" s="1" t="s">
        <v>451</v>
      </c>
      <c r="K159" s="1" t="s">
        <v>25</v>
      </c>
      <c r="L159" s="1" t="s">
        <v>17</v>
      </c>
      <c r="M159" s="1" t="s">
        <v>18</v>
      </c>
      <c r="N159" s="1" t="s">
        <v>17</v>
      </c>
      <c r="O159" s="1" t="s">
        <v>28</v>
      </c>
      <c r="P159" s="1" t="s">
        <v>20</v>
      </c>
    </row>
    <row r="160" spans="1:16" x14ac:dyDescent="0.35">
      <c r="A160" s="1">
        <v>50500581</v>
      </c>
      <c r="B160" s="1" t="str">
        <f>_xlfn.XLOOKUP(A160,Sheet1!A:A,Sheet1!D:D,"")</f>
        <v>CASPER SNOW MAX</v>
      </c>
      <c r="C160" s="1" t="s">
        <v>455</v>
      </c>
      <c r="D160" s="2">
        <f>_xlfn.XLOOKUP(A160,Sheet1!A:A,Sheet1!C:C,"")</f>
        <v>3195</v>
      </c>
      <c r="E160" s="2">
        <v>3995</v>
      </c>
      <c r="F160" s="1" t="s">
        <v>13</v>
      </c>
      <c r="H160" s="1" t="s">
        <v>30</v>
      </c>
      <c r="I160" s="1" t="s">
        <v>14</v>
      </c>
      <c r="J160" s="1" t="s">
        <v>451</v>
      </c>
      <c r="K160" s="1" t="s">
        <v>25</v>
      </c>
      <c r="L160" s="1" t="s">
        <v>28</v>
      </c>
      <c r="M160" s="1" t="s">
        <v>31</v>
      </c>
      <c r="N160" s="1" t="s">
        <v>17</v>
      </c>
      <c r="O160" s="1" t="s">
        <v>32</v>
      </c>
      <c r="P160" s="1" t="s">
        <v>33</v>
      </c>
    </row>
    <row r="161" spans="1:16" x14ac:dyDescent="0.35">
      <c r="A161" s="1">
        <v>50500682</v>
      </c>
      <c r="B161" s="1" t="str">
        <f>_xlfn.XLOOKUP(A161,Sheet1!A:A,Sheet1!D:D,"")</f>
        <v>CASPER ONYX 2.0</v>
      </c>
      <c r="C161" s="1" t="s">
        <v>457</v>
      </c>
      <c r="D161" s="2">
        <f>_xlfn.XLOOKUP(A161,Sheet1!A:A,Sheet1!C:C,"")</f>
        <v>799</v>
      </c>
      <c r="E161" s="2">
        <v>899</v>
      </c>
      <c r="F161" s="1" t="s">
        <v>13</v>
      </c>
      <c r="G161" s="1" t="s">
        <v>1161</v>
      </c>
      <c r="H161" s="1" t="s">
        <v>213</v>
      </c>
      <c r="I161" s="1" t="s">
        <v>14</v>
      </c>
      <c r="J161" s="1" t="s">
        <v>451</v>
      </c>
      <c r="K161" s="1" t="s">
        <v>16</v>
      </c>
      <c r="L161" s="1" t="s">
        <v>19</v>
      </c>
      <c r="M161" s="1" t="s">
        <v>18</v>
      </c>
      <c r="N161" s="1" t="s">
        <v>19</v>
      </c>
      <c r="O161" s="1" t="s">
        <v>19</v>
      </c>
      <c r="P161" s="1" t="s">
        <v>20</v>
      </c>
    </row>
    <row r="162" spans="1:16" x14ac:dyDescent="0.35">
      <c r="A162" s="1">
        <v>50501773</v>
      </c>
      <c r="B162" s="1" t="str">
        <f>_xlfn.XLOOKUP(A162,Sheet1!A:A,Sheet1!D:D,"")</f>
        <v>SMART MATCH 2.0</v>
      </c>
      <c r="C162" s="1" t="s">
        <v>458</v>
      </c>
      <c r="D162" s="2">
        <f>_xlfn.XLOOKUP(A162,Sheet1!A:A,Sheet1!C:C,"")</f>
        <v>1277</v>
      </c>
      <c r="E162" s="2">
        <v>3699</v>
      </c>
      <c r="F162" s="1" t="s">
        <v>38</v>
      </c>
      <c r="J162" s="1" t="s">
        <v>451</v>
      </c>
      <c r="K162" s="1" t="s">
        <v>39</v>
      </c>
      <c r="L162" s="1" t="s">
        <v>28</v>
      </c>
      <c r="M162" s="1" t="s">
        <v>18</v>
      </c>
      <c r="N162" s="1" t="s">
        <v>28</v>
      </c>
      <c r="O162" s="1" t="s">
        <v>17</v>
      </c>
      <c r="P162" s="1" t="s">
        <v>20</v>
      </c>
    </row>
    <row r="163" spans="1:16" x14ac:dyDescent="0.35">
      <c r="A163" s="1">
        <v>50507460</v>
      </c>
      <c r="B163" s="1" t="str">
        <f>_xlfn.XLOOKUP(A163,Sheet1!A:A,Sheet1!D:D,"")</f>
        <v>ADAPT 2.0 MEDIUM</v>
      </c>
      <c r="C163" s="1" t="s">
        <v>460</v>
      </c>
      <c r="D163" s="2">
        <f>_xlfn.XLOOKUP(A163,Sheet1!A:A,Sheet1!C:C,"")</f>
        <v>2199</v>
      </c>
      <c r="E163" s="2">
        <v>2199</v>
      </c>
      <c r="F163" s="1" t="s">
        <v>46</v>
      </c>
      <c r="H163" s="1" t="s">
        <v>47</v>
      </c>
      <c r="I163" s="1" t="s">
        <v>14</v>
      </c>
      <c r="J163" s="1" t="s">
        <v>451</v>
      </c>
      <c r="K163" s="1" t="s">
        <v>16</v>
      </c>
      <c r="L163" s="1" t="s">
        <v>28</v>
      </c>
      <c r="M163" s="1" t="s">
        <v>18</v>
      </c>
      <c r="N163" s="1" t="s">
        <v>28</v>
      </c>
      <c r="O163" s="1" t="s">
        <v>28</v>
      </c>
      <c r="P163" s="1" t="s">
        <v>20</v>
      </c>
    </row>
    <row r="164" spans="1:16" x14ac:dyDescent="0.35">
      <c r="A164" s="1">
        <v>50507472</v>
      </c>
      <c r="B164" s="1" t="str">
        <f>_xlfn.XLOOKUP(A164,Sheet1!A:A,Sheet1!D:D,"")</f>
        <v>ADAPT 2.0 MEDIUM HYBRID</v>
      </c>
      <c r="C164" s="1" t="s">
        <v>461</v>
      </c>
      <c r="D164" s="2">
        <f>_xlfn.XLOOKUP(A164,Sheet1!A:A,Sheet1!C:C,"")</f>
        <v>2499</v>
      </c>
      <c r="E164" s="2">
        <v>2499</v>
      </c>
      <c r="F164" s="1" t="s">
        <v>46</v>
      </c>
      <c r="H164" s="1" t="s">
        <v>49</v>
      </c>
      <c r="I164" s="1" t="s">
        <v>14</v>
      </c>
      <c r="J164" s="1" t="s">
        <v>451</v>
      </c>
      <c r="K164" s="1" t="s">
        <v>25</v>
      </c>
      <c r="L164" s="1" t="s">
        <v>28</v>
      </c>
      <c r="M164" s="1" t="s">
        <v>18</v>
      </c>
      <c r="N164" s="1" t="s">
        <v>28</v>
      </c>
      <c r="O164" s="1" t="s">
        <v>28</v>
      </c>
      <c r="P164" s="1" t="s">
        <v>20</v>
      </c>
    </row>
    <row r="165" spans="1:16" x14ac:dyDescent="0.35">
      <c r="A165" s="1">
        <v>50507484</v>
      </c>
      <c r="B165" s="1" t="str">
        <f>_xlfn.XLOOKUP(A165,Sheet1!A:A,Sheet1!D:D,"")</f>
        <v>PROADAPT 2.0 FIRM</v>
      </c>
      <c r="C165" s="1" t="s">
        <v>462</v>
      </c>
      <c r="D165" s="2">
        <f>_xlfn.XLOOKUP(A165,Sheet1!A:A,Sheet1!C:C,"")</f>
        <v>3399</v>
      </c>
      <c r="E165" s="2">
        <v>3399</v>
      </c>
      <c r="F165" s="1" t="s">
        <v>46</v>
      </c>
      <c r="H165" s="1" t="s">
        <v>51</v>
      </c>
      <c r="I165" s="1" t="s">
        <v>14</v>
      </c>
      <c r="J165" s="1" t="s">
        <v>451</v>
      </c>
      <c r="K165" s="1" t="s">
        <v>16</v>
      </c>
      <c r="L165" s="1" t="s">
        <v>28</v>
      </c>
      <c r="M165" s="1" t="s">
        <v>22</v>
      </c>
      <c r="N165" s="1" t="s">
        <v>32</v>
      </c>
      <c r="O165" s="1" t="s">
        <v>28</v>
      </c>
      <c r="P165" s="1" t="s">
        <v>23</v>
      </c>
    </row>
    <row r="166" spans="1:16" x14ac:dyDescent="0.35">
      <c r="A166" s="1">
        <v>50507511</v>
      </c>
      <c r="B166" s="1" t="str">
        <f>_xlfn.XLOOKUP(A166,Sheet1!A:A,Sheet1!D:D,"")</f>
        <v>PROBREEZE 2.0 MEDIUM HYBRID</v>
      </c>
      <c r="C166" s="1" t="s">
        <v>464</v>
      </c>
      <c r="D166" s="2">
        <f>_xlfn.XLOOKUP(A166,Sheet1!A:A,Sheet1!C:C,"")</f>
        <v>4399</v>
      </c>
      <c r="E166" s="2">
        <v>4399</v>
      </c>
      <c r="F166" s="1" t="s">
        <v>46</v>
      </c>
      <c r="H166" s="1" t="s">
        <v>54</v>
      </c>
      <c r="I166" s="1" t="s">
        <v>14</v>
      </c>
      <c r="J166" s="1" t="s">
        <v>451</v>
      </c>
      <c r="K166" s="1" t="s">
        <v>25</v>
      </c>
      <c r="L166" s="1" t="s">
        <v>28</v>
      </c>
      <c r="M166" s="1" t="s">
        <v>18</v>
      </c>
      <c r="N166" s="1" t="s">
        <v>32</v>
      </c>
      <c r="O166" s="1" t="s">
        <v>32</v>
      </c>
      <c r="P166" s="1" t="s">
        <v>20</v>
      </c>
    </row>
    <row r="167" spans="1:16" x14ac:dyDescent="0.35">
      <c r="A167" s="1">
        <v>50507523</v>
      </c>
      <c r="B167" s="1" t="str">
        <f>_xlfn.XLOOKUP(A167,Sheet1!A:A,Sheet1!D:D,"")</f>
        <v>PROADAPT 2.0 MEDIUM</v>
      </c>
      <c r="C167" s="1" t="s">
        <v>465</v>
      </c>
      <c r="D167" s="2">
        <f>_xlfn.XLOOKUP(A167,Sheet1!A:A,Sheet1!C:C,"")</f>
        <v>3399</v>
      </c>
      <c r="E167" s="2">
        <v>3399</v>
      </c>
      <c r="F167" s="1" t="s">
        <v>46</v>
      </c>
      <c r="H167" s="1" t="s">
        <v>51</v>
      </c>
      <c r="I167" s="1" t="s">
        <v>14</v>
      </c>
      <c r="J167" s="1" t="s">
        <v>451</v>
      </c>
      <c r="K167" s="1" t="s">
        <v>16</v>
      </c>
      <c r="L167" s="1" t="s">
        <v>28</v>
      </c>
      <c r="M167" s="1" t="s">
        <v>18</v>
      </c>
      <c r="N167" s="1" t="s">
        <v>32</v>
      </c>
      <c r="O167" s="1" t="s">
        <v>28</v>
      </c>
      <c r="P167" s="1" t="s">
        <v>20</v>
      </c>
    </row>
    <row r="168" spans="1:16" x14ac:dyDescent="0.35">
      <c r="A168" s="1">
        <v>50507535</v>
      </c>
      <c r="B168" s="1" t="str">
        <f>_xlfn.XLOOKUP(A168,Sheet1!A:A,Sheet1!D:D,"")</f>
        <v>PROADAPT 2.0 SOFT</v>
      </c>
      <c r="C168" s="1" t="s">
        <v>466</v>
      </c>
      <c r="D168" s="2">
        <f>_xlfn.XLOOKUP(A168,Sheet1!A:A,Sheet1!C:C,"")</f>
        <v>3399</v>
      </c>
      <c r="E168" s="2">
        <v>3399</v>
      </c>
      <c r="F168" s="1" t="s">
        <v>46</v>
      </c>
      <c r="H168" s="1" t="s">
        <v>57</v>
      </c>
      <c r="I168" s="1" t="s">
        <v>14</v>
      </c>
      <c r="J168" s="1" t="s">
        <v>451</v>
      </c>
      <c r="K168" s="1" t="s">
        <v>16</v>
      </c>
      <c r="L168" s="1" t="s">
        <v>32</v>
      </c>
      <c r="M168" s="1" t="s">
        <v>31</v>
      </c>
      <c r="N168" s="1" t="s">
        <v>32</v>
      </c>
      <c r="O168" s="1" t="s">
        <v>28</v>
      </c>
      <c r="P168" s="1" t="s">
        <v>33</v>
      </c>
    </row>
    <row r="169" spans="1:16" x14ac:dyDescent="0.35">
      <c r="A169" s="1">
        <v>50507559</v>
      </c>
      <c r="B169" s="1" t="str">
        <f>_xlfn.XLOOKUP(A169,Sheet1!A:A,Sheet1!D:D,"")</f>
        <v>PROADAPT 2.0 MEDIUM HYBRID</v>
      </c>
      <c r="C169" s="1" t="s">
        <v>467</v>
      </c>
      <c r="D169" s="2">
        <f>_xlfn.XLOOKUP(A169,Sheet1!A:A,Sheet1!C:C,"")</f>
        <v>3399</v>
      </c>
      <c r="E169" s="2">
        <v>3399</v>
      </c>
      <c r="F169" s="1" t="s">
        <v>46</v>
      </c>
      <c r="H169" s="1" t="s">
        <v>337</v>
      </c>
      <c r="I169" s="1" t="s">
        <v>14</v>
      </c>
      <c r="J169" s="1" t="s">
        <v>451</v>
      </c>
      <c r="K169" s="1" t="s">
        <v>25</v>
      </c>
      <c r="L169" s="1" t="s">
        <v>28</v>
      </c>
      <c r="M169" s="1" t="s">
        <v>18</v>
      </c>
      <c r="N169" s="1" t="s">
        <v>32</v>
      </c>
      <c r="O169" s="1" t="s">
        <v>28</v>
      </c>
      <c r="P169" s="1" t="s">
        <v>20</v>
      </c>
    </row>
    <row r="170" spans="1:16" x14ac:dyDescent="0.35">
      <c r="A170" s="1">
        <v>50507561</v>
      </c>
      <c r="B170" s="1" t="str">
        <f>_xlfn.XLOOKUP(A170,Sheet1!A:A,Sheet1!D:D,"")</f>
        <v>LUXEADAPT 2.0 SOFT</v>
      </c>
      <c r="C170" s="1" t="s">
        <v>468</v>
      </c>
      <c r="D170" s="2">
        <f>_xlfn.XLOOKUP(A170,Sheet1!A:A,Sheet1!C:C,"")</f>
        <v>4699</v>
      </c>
      <c r="E170" s="2">
        <v>4699</v>
      </c>
      <c r="F170" s="1" t="s">
        <v>46</v>
      </c>
      <c r="H170" s="1" t="s">
        <v>61</v>
      </c>
      <c r="I170" s="1" t="s">
        <v>14</v>
      </c>
      <c r="J170" s="1" t="s">
        <v>451</v>
      </c>
      <c r="K170" s="1" t="s">
        <v>16</v>
      </c>
      <c r="L170" s="1" t="s">
        <v>32</v>
      </c>
      <c r="M170" s="1" t="s">
        <v>31</v>
      </c>
      <c r="N170" s="1" t="s">
        <v>32</v>
      </c>
      <c r="O170" s="1" t="s">
        <v>28</v>
      </c>
      <c r="P170" s="1" t="s">
        <v>33</v>
      </c>
    </row>
    <row r="171" spans="1:16" x14ac:dyDescent="0.35">
      <c r="A171" s="1">
        <v>50507585</v>
      </c>
      <c r="B171" s="1" t="str">
        <f>_xlfn.XLOOKUP(A171,Sheet1!A:A,Sheet1!D:D,"")</f>
        <v>LUXEADAPT 2.0 MEDIUM HYBRID</v>
      </c>
      <c r="C171" s="1" t="s">
        <v>470</v>
      </c>
      <c r="D171" s="2">
        <f>_xlfn.XLOOKUP(A171,Sheet1!A:A,Sheet1!C:C,"")</f>
        <v>4699</v>
      </c>
      <c r="E171" s="2">
        <v>4699</v>
      </c>
      <c r="F171" s="1" t="s">
        <v>46</v>
      </c>
      <c r="H171" s="1" t="s">
        <v>64</v>
      </c>
      <c r="I171" s="1" t="s">
        <v>14</v>
      </c>
      <c r="J171" s="1" t="s">
        <v>451</v>
      </c>
      <c r="K171" s="1" t="s">
        <v>25</v>
      </c>
      <c r="L171" s="1" t="s">
        <v>32</v>
      </c>
      <c r="M171" s="1" t="s">
        <v>18</v>
      </c>
      <c r="N171" s="1" t="s">
        <v>32</v>
      </c>
      <c r="O171" s="1" t="s">
        <v>28</v>
      </c>
      <c r="P171" s="1" t="s">
        <v>20</v>
      </c>
    </row>
    <row r="172" spans="1:16" x14ac:dyDescent="0.35">
      <c r="A172" s="1">
        <v>50507624</v>
      </c>
      <c r="B172" s="1" t="str">
        <f>_xlfn.XLOOKUP(A172,Sheet1!A:A,Sheet1!D:D,"")</f>
        <v>LUXEBREEZE 2.0 FIRM</v>
      </c>
      <c r="C172" s="1" t="s">
        <v>474</v>
      </c>
      <c r="D172" s="2">
        <f>_xlfn.XLOOKUP(A172,Sheet1!A:A,Sheet1!C:C,"")</f>
        <v>5699</v>
      </c>
      <c r="E172" s="2">
        <v>5699</v>
      </c>
      <c r="F172" s="1" t="s">
        <v>46</v>
      </c>
      <c r="H172" s="1" t="s">
        <v>68</v>
      </c>
      <c r="I172" s="1" t="s">
        <v>14</v>
      </c>
      <c r="J172" s="1" t="s">
        <v>451</v>
      </c>
      <c r="K172" s="1" t="s">
        <v>16</v>
      </c>
      <c r="L172" s="1" t="s">
        <v>32</v>
      </c>
      <c r="M172" s="1" t="s">
        <v>22</v>
      </c>
      <c r="N172" s="1" t="s">
        <v>32</v>
      </c>
      <c r="O172" s="1" t="s">
        <v>32</v>
      </c>
      <c r="P172" s="1" t="s">
        <v>23</v>
      </c>
    </row>
    <row r="173" spans="1:16" x14ac:dyDescent="0.35">
      <c r="A173" s="1">
        <v>50509870</v>
      </c>
      <c r="B173" s="1" t="str">
        <f>_xlfn.XLOOKUP(A173,Sheet1!A:A,Sheet1!D:D,"")</f>
        <v>TUFT &amp; NEEDLE STITCH TN3.1</v>
      </c>
      <c r="C173" s="1" t="s">
        <v>475</v>
      </c>
      <c r="D173" s="2">
        <f>_xlfn.XLOOKUP(A173,Sheet1!A:A,Sheet1!C:C,"")</f>
        <v>997</v>
      </c>
      <c r="E173" s="2">
        <v>1299</v>
      </c>
      <c r="F173" s="1" t="s">
        <v>71</v>
      </c>
      <c r="G173" s="1" t="s">
        <v>1161</v>
      </c>
      <c r="I173" s="1" t="s">
        <v>14</v>
      </c>
      <c r="J173" s="1" t="s">
        <v>451</v>
      </c>
      <c r="K173" s="1" t="s">
        <v>25</v>
      </c>
      <c r="L173" s="1" t="s">
        <v>17</v>
      </c>
      <c r="M173" s="1" t="s">
        <v>18</v>
      </c>
      <c r="N173" s="1" t="s">
        <v>17</v>
      </c>
      <c r="O173" s="1" t="s">
        <v>17</v>
      </c>
      <c r="P173" s="1" t="s">
        <v>20</v>
      </c>
    </row>
    <row r="174" spans="1:16" x14ac:dyDescent="0.35">
      <c r="A174" s="1">
        <v>50509882</v>
      </c>
      <c r="B174" s="1" t="str">
        <f>_xlfn.XLOOKUP(A174,Sheet1!A:A,Sheet1!D:D,"")</f>
        <v>TUFT &amp; NEEDLE STITCH TN5.1</v>
      </c>
      <c r="C174" s="1" t="s">
        <v>476</v>
      </c>
      <c r="D174" s="2">
        <f>_xlfn.XLOOKUP(A174,Sheet1!A:A,Sheet1!C:C,"")</f>
        <v>1095</v>
      </c>
      <c r="E174" s="2">
        <v>1799</v>
      </c>
      <c r="F174" s="1" t="s">
        <v>71</v>
      </c>
      <c r="G174" s="1" t="s">
        <v>1161</v>
      </c>
      <c r="I174" s="1" t="s">
        <v>14</v>
      </c>
      <c r="J174" s="1" t="s">
        <v>451</v>
      </c>
      <c r="K174" s="1" t="s">
        <v>25</v>
      </c>
      <c r="L174" s="1" t="s">
        <v>28</v>
      </c>
      <c r="M174" s="1" t="s">
        <v>22</v>
      </c>
      <c r="N174" s="1" t="s">
        <v>28</v>
      </c>
      <c r="O174" s="1" t="s">
        <v>28</v>
      </c>
      <c r="P174" s="1" t="s">
        <v>23</v>
      </c>
    </row>
    <row r="175" spans="1:16" x14ac:dyDescent="0.35">
      <c r="A175" s="1">
        <v>50509907</v>
      </c>
      <c r="B175" s="1" t="str">
        <f>_xlfn.XLOOKUP(A175,Sheet1!A:A,Sheet1!D:D,"")</f>
        <v>TUFT &amp; NEEDLE STITCH TN9.1</v>
      </c>
      <c r="C175" s="1" t="s">
        <v>478</v>
      </c>
      <c r="D175" s="2">
        <f>_xlfn.XLOOKUP(A175,Sheet1!A:A,Sheet1!C:C,"")</f>
        <v>1997</v>
      </c>
      <c r="E175" s="2">
        <v>2499</v>
      </c>
      <c r="F175" s="1" t="s">
        <v>71</v>
      </c>
      <c r="G175" s="1" t="s">
        <v>1161</v>
      </c>
      <c r="I175" s="1" t="s">
        <v>14</v>
      </c>
      <c r="J175" s="1" t="s">
        <v>451</v>
      </c>
      <c r="K175" s="1" t="s">
        <v>25</v>
      </c>
      <c r="L175" s="1" t="s">
        <v>32</v>
      </c>
      <c r="M175" s="1" t="s">
        <v>31</v>
      </c>
      <c r="N175" s="1" t="s">
        <v>28</v>
      </c>
      <c r="O175" s="1" t="s">
        <v>28</v>
      </c>
      <c r="P175" s="1" t="s">
        <v>33</v>
      </c>
    </row>
    <row r="176" spans="1:16" x14ac:dyDescent="0.35">
      <c r="A176" s="1">
        <v>50509933</v>
      </c>
      <c r="B176" s="1" t="str">
        <f>_xlfn.XLOOKUP(A176,Sheet1!A:A,Sheet1!D:D,"")</f>
        <v>TUFT &amp; NEEDLE TN1</v>
      </c>
      <c r="C176" s="1" t="s">
        <v>479</v>
      </c>
      <c r="D176" s="2">
        <f>_xlfn.XLOOKUP(A176,Sheet1!A:A,Sheet1!C:C,"")</f>
        <v>777</v>
      </c>
      <c r="E176" s="2">
        <v>899</v>
      </c>
      <c r="F176" s="1" t="s">
        <v>71</v>
      </c>
      <c r="G176" s="1" t="s">
        <v>1161</v>
      </c>
      <c r="H176" s="1" t="s">
        <v>77</v>
      </c>
      <c r="I176" s="1" t="s">
        <v>14</v>
      </c>
      <c r="J176" s="1" t="s">
        <v>451</v>
      </c>
      <c r="K176" s="1" t="s">
        <v>16</v>
      </c>
      <c r="L176" s="1" t="s">
        <v>19</v>
      </c>
      <c r="M176" s="1" t="s">
        <v>22</v>
      </c>
      <c r="N176" s="1" t="s">
        <v>19</v>
      </c>
      <c r="O176" s="1" t="s">
        <v>19</v>
      </c>
      <c r="P176" s="1" t="s">
        <v>23</v>
      </c>
    </row>
    <row r="177" spans="1:16" x14ac:dyDescent="0.35">
      <c r="A177" s="1">
        <v>50510570</v>
      </c>
      <c r="B177" s="1" t="str">
        <f>_xlfn.XLOOKUP(A177,Sheet1!A:A,Sheet1!D:D,"")</f>
        <v>MOLECULE CORE</v>
      </c>
      <c r="C177" s="1" t="s">
        <v>480</v>
      </c>
      <c r="D177" s="2">
        <f>_xlfn.XLOOKUP(A177,Sheet1!A:A,Sheet1!C:C,"")</f>
        <v>497</v>
      </c>
      <c r="E177" s="2">
        <v>999</v>
      </c>
      <c r="F177" s="1" t="s">
        <v>79</v>
      </c>
      <c r="H177" s="1" t="s">
        <v>481</v>
      </c>
      <c r="I177" s="1" t="s">
        <v>14</v>
      </c>
      <c r="J177" s="1" t="s">
        <v>451</v>
      </c>
      <c r="K177" s="1" t="s">
        <v>16</v>
      </c>
      <c r="L177" s="1" t="s">
        <v>17</v>
      </c>
      <c r="M177" s="1" t="s">
        <v>18</v>
      </c>
      <c r="N177" s="1" t="s">
        <v>17</v>
      </c>
      <c r="O177" s="1" t="s">
        <v>17</v>
      </c>
      <c r="P177" s="1" t="s">
        <v>20</v>
      </c>
    </row>
    <row r="178" spans="1:16" x14ac:dyDescent="0.35">
      <c r="A178" s="1">
        <v>50510671</v>
      </c>
      <c r="B178" s="1" t="str">
        <f>_xlfn.XLOOKUP(A178,Sheet1!A:A,Sheet1!D:D,"")</f>
        <v>BROAD PEAK MEDIUM HYBRID</v>
      </c>
      <c r="C178" s="1" t="s">
        <v>482</v>
      </c>
      <c r="D178" s="2">
        <f>_xlfn.XLOOKUP(A178,Sheet1!A:A,Sheet1!C:C,"")</f>
        <v>795</v>
      </c>
      <c r="E178" s="2">
        <v>1099.99</v>
      </c>
      <c r="F178" s="1" t="s">
        <v>81</v>
      </c>
      <c r="G178" s="1" t="s">
        <v>1161</v>
      </c>
      <c r="H178" s="1" t="s">
        <v>82</v>
      </c>
      <c r="I178" s="1" t="s">
        <v>14</v>
      </c>
      <c r="J178" s="1" t="s">
        <v>451</v>
      </c>
      <c r="K178" s="1" t="s">
        <v>25</v>
      </c>
      <c r="L178" s="1" t="s">
        <v>17</v>
      </c>
      <c r="M178" s="1" t="s">
        <v>18</v>
      </c>
      <c r="N178" s="1" t="s">
        <v>17</v>
      </c>
      <c r="O178" s="1" t="s">
        <v>17</v>
      </c>
      <c r="P178" s="1" t="s">
        <v>20</v>
      </c>
    </row>
    <row r="179" spans="1:16" x14ac:dyDescent="0.35">
      <c r="A179" s="1">
        <v>50511053</v>
      </c>
      <c r="B179" s="1" t="str">
        <f>_xlfn.XLOOKUP(A179,Sheet1!A:A,Sheet1!D:D,"")</f>
        <v>BAY DREAMER</v>
      </c>
      <c r="C179" s="1" t="s">
        <v>483</v>
      </c>
      <c r="D179" s="2">
        <f>_xlfn.XLOOKUP(A179,Sheet1!A:A,Sheet1!C:C,"")</f>
        <v>595</v>
      </c>
      <c r="E179" s="2">
        <v>699.99</v>
      </c>
      <c r="F179" s="1" t="s">
        <v>84</v>
      </c>
      <c r="G179" s="1" t="s">
        <v>1161</v>
      </c>
      <c r="I179" s="1" t="s">
        <v>41</v>
      </c>
      <c r="J179" s="1" t="s">
        <v>451</v>
      </c>
      <c r="K179" s="1" t="s">
        <v>39</v>
      </c>
      <c r="L179" s="1" t="s">
        <v>19</v>
      </c>
      <c r="M179" s="1" t="s">
        <v>31</v>
      </c>
      <c r="N179" s="1" t="s">
        <v>28</v>
      </c>
      <c r="O179" s="1" t="s">
        <v>19</v>
      </c>
      <c r="P179" s="1" t="s">
        <v>33</v>
      </c>
    </row>
    <row r="180" spans="1:16" x14ac:dyDescent="0.35">
      <c r="A180" s="1">
        <v>50511065</v>
      </c>
      <c r="B180" s="1" t="str">
        <f>_xlfn.XLOOKUP(A180,Sheet1!A:A,Sheet1!D:D,"")</f>
        <v>MAKE WAVES</v>
      </c>
      <c r="C180" s="1" t="s">
        <v>484</v>
      </c>
      <c r="D180" s="2">
        <f>_xlfn.XLOOKUP(A180,Sheet1!A:A,Sheet1!C:C,"")</f>
        <v>645</v>
      </c>
      <c r="E180" s="2">
        <v>749.99</v>
      </c>
      <c r="F180" s="1" t="s">
        <v>84</v>
      </c>
      <c r="G180" s="1" t="s">
        <v>1161</v>
      </c>
      <c r="I180" s="1" t="s">
        <v>41</v>
      </c>
      <c r="J180" s="1" t="s">
        <v>451</v>
      </c>
      <c r="K180" s="1" t="s">
        <v>25</v>
      </c>
      <c r="L180" s="1" t="s">
        <v>19</v>
      </c>
      <c r="M180" s="1" t="s">
        <v>22</v>
      </c>
      <c r="N180" s="1" t="s">
        <v>28</v>
      </c>
      <c r="O180" s="1" t="s">
        <v>19</v>
      </c>
      <c r="P180" s="1" t="s">
        <v>23</v>
      </c>
    </row>
    <row r="181" spans="1:16" x14ac:dyDescent="0.35">
      <c r="A181" s="1">
        <v>50511077</v>
      </c>
      <c r="B181" s="1" t="str">
        <f>_xlfn.XLOOKUP(A181,Sheet1!A:A,Sheet1!D:D,"")</f>
        <v>SEASIDE SERENITY</v>
      </c>
      <c r="C181" s="1" t="s">
        <v>485</v>
      </c>
      <c r="D181" s="2">
        <f>_xlfn.XLOOKUP(A181,Sheet1!A:A,Sheet1!C:C,"")</f>
        <v>745</v>
      </c>
      <c r="E181" s="2">
        <v>849.99</v>
      </c>
      <c r="F181" s="1" t="s">
        <v>84</v>
      </c>
      <c r="G181" s="1" t="s">
        <v>1161</v>
      </c>
      <c r="I181" s="1" t="s">
        <v>41</v>
      </c>
      <c r="J181" s="1" t="s">
        <v>451</v>
      </c>
      <c r="K181" s="1" t="s">
        <v>39</v>
      </c>
      <c r="L181" s="1" t="s">
        <v>19</v>
      </c>
      <c r="M181" s="1" t="s">
        <v>18</v>
      </c>
      <c r="N181" s="1" t="s">
        <v>28</v>
      </c>
      <c r="O181" s="1" t="s">
        <v>19</v>
      </c>
      <c r="P181" s="1" t="s">
        <v>20</v>
      </c>
    </row>
    <row r="182" spans="1:16" x14ac:dyDescent="0.35">
      <c r="A182" s="1">
        <v>50511344</v>
      </c>
      <c r="B182" s="1" t="str">
        <f>_xlfn.XLOOKUP(A182,Sheet1!A:A,Sheet1!D:D,"")</f>
        <v>FORESTER</v>
      </c>
      <c r="C182" s="1" t="s">
        <v>492</v>
      </c>
      <c r="D182" s="2">
        <f>_xlfn.XLOOKUP(A182,Sheet1!A:A,Sheet1!C:C,"")</f>
        <v>697</v>
      </c>
      <c r="E182" s="2">
        <v>899.99</v>
      </c>
      <c r="F182" s="1" t="s">
        <v>93</v>
      </c>
      <c r="G182" s="1" t="s">
        <v>1161</v>
      </c>
      <c r="I182" s="1" t="s">
        <v>14</v>
      </c>
      <c r="J182" s="1" t="s">
        <v>451</v>
      </c>
      <c r="K182" s="1" t="s">
        <v>39</v>
      </c>
      <c r="L182" s="1" t="s">
        <v>19</v>
      </c>
      <c r="M182" s="1" t="s">
        <v>22</v>
      </c>
      <c r="N182" s="1" t="s">
        <v>17</v>
      </c>
      <c r="O182" s="1" t="s">
        <v>19</v>
      </c>
      <c r="P182" s="1" t="s">
        <v>98</v>
      </c>
    </row>
    <row r="183" spans="1:16" x14ac:dyDescent="0.35">
      <c r="A183" s="1">
        <v>50511368</v>
      </c>
      <c r="B183" s="1" t="str">
        <f>_xlfn.XLOOKUP(A183,Sheet1!A:A,Sheet1!D:D,"")</f>
        <v>DARLINGTON</v>
      </c>
      <c r="C183" s="1" t="s">
        <v>494</v>
      </c>
      <c r="D183" s="2">
        <f>_xlfn.XLOOKUP(A183,Sheet1!A:A,Sheet1!C:C,"")</f>
        <v>597</v>
      </c>
      <c r="E183" s="2">
        <v>699.99</v>
      </c>
      <c r="F183" s="1" t="s">
        <v>93</v>
      </c>
      <c r="G183" s="1" t="s">
        <v>1161</v>
      </c>
      <c r="I183" s="1" t="s">
        <v>14</v>
      </c>
      <c r="J183" s="1" t="s">
        <v>451</v>
      </c>
      <c r="K183" s="1" t="s">
        <v>39</v>
      </c>
      <c r="L183" s="1" t="s">
        <v>19</v>
      </c>
      <c r="M183" s="1" t="s">
        <v>18</v>
      </c>
      <c r="N183" s="1" t="s">
        <v>19</v>
      </c>
      <c r="O183" s="1" t="s">
        <v>17</v>
      </c>
      <c r="P183" s="1" t="s">
        <v>20</v>
      </c>
    </row>
    <row r="184" spans="1:16" x14ac:dyDescent="0.35">
      <c r="A184" s="1">
        <v>50511382</v>
      </c>
      <c r="B184" s="1" t="str">
        <f>_xlfn.XLOOKUP(A184,Sheet1!A:A,Sheet1!D:D,"")</f>
        <v>HASTINGS</v>
      </c>
      <c r="C184" s="1" t="s">
        <v>496</v>
      </c>
      <c r="D184" s="2">
        <f>_xlfn.XLOOKUP(A184,Sheet1!A:A,Sheet1!C:C,"")</f>
        <v>777</v>
      </c>
      <c r="E184" s="2">
        <v>1099.99</v>
      </c>
      <c r="F184" s="1" t="s">
        <v>104</v>
      </c>
      <c r="G184" s="1" t="s">
        <v>1161</v>
      </c>
      <c r="J184" s="1" t="s">
        <v>451</v>
      </c>
      <c r="K184" s="1" t="s">
        <v>25</v>
      </c>
      <c r="L184" s="1" t="s">
        <v>19</v>
      </c>
      <c r="M184" s="1" t="s">
        <v>31</v>
      </c>
      <c r="N184" s="1" t="s">
        <v>17</v>
      </c>
      <c r="O184" s="1" t="s">
        <v>17</v>
      </c>
      <c r="P184" s="1" t="s">
        <v>33</v>
      </c>
    </row>
    <row r="185" spans="1:16" x14ac:dyDescent="0.35">
      <c r="A185" s="1">
        <v>50511457</v>
      </c>
      <c r="B185" s="1" t="str">
        <f>_xlfn.XLOOKUP(A185,Sheet1!A:A,Sheet1!D:D,"")</f>
        <v>KAANAPALI</v>
      </c>
      <c r="C185" s="1" t="s">
        <v>498</v>
      </c>
      <c r="D185" s="2">
        <f>_xlfn.XLOOKUP(A185,Sheet1!A:A,Sheet1!C:C,"")</f>
        <v>1499.99</v>
      </c>
      <c r="E185" s="2">
        <v>1499.99</v>
      </c>
      <c r="F185" s="1" t="s">
        <v>104</v>
      </c>
      <c r="G185" s="1" t="s">
        <v>1161</v>
      </c>
      <c r="I185" s="1" t="s">
        <v>14</v>
      </c>
      <c r="J185" s="1" t="s">
        <v>451</v>
      </c>
      <c r="K185" s="1" t="s">
        <v>25</v>
      </c>
      <c r="L185" s="1" t="s">
        <v>17</v>
      </c>
      <c r="M185" s="1" t="s">
        <v>22</v>
      </c>
      <c r="N185" s="1" t="s">
        <v>28</v>
      </c>
      <c r="O185" s="1" t="s">
        <v>17</v>
      </c>
      <c r="P185" s="1" t="s">
        <v>23</v>
      </c>
    </row>
    <row r="186" spans="1:16" x14ac:dyDescent="0.35">
      <c r="A186" s="1">
        <v>50511495</v>
      </c>
      <c r="B186" s="1" t="str">
        <f>_xlfn.XLOOKUP(A186,Sheet1!A:A,Sheet1!D:D,"")</f>
        <v>LEDO</v>
      </c>
      <c r="C186" s="1" t="s">
        <v>499</v>
      </c>
      <c r="D186" s="2">
        <f>_xlfn.XLOOKUP(A186,Sheet1!A:A,Sheet1!C:C,"")</f>
        <v>1799.99</v>
      </c>
      <c r="E186" s="2">
        <v>1799.99</v>
      </c>
      <c r="F186" s="1" t="s">
        <v>104</v>
      </c>
      <c r="G186" s="1" t="s">
        <v>1161</v>
      </c>
      <c r="I186" s="1" t="s">
        <v>14</v>
      </c>
      <c r="J186" s="1" t="s">
        <v>451</v>
      </c>
      <c r="K186" s="1" t="s">
        <v>25</v>
      </c>
      <c r="L186" s="1" t="s">
        <v>28</v>
      </c>
      <c r="M186" s="1" t="s">
        <v>18</v>
      </c>
      <c r="N186" s="1" t="s">
        <v>28</v>
      </c>
      <c r="O186" s="1" t="s">
        <v>17</v>
      </c>
      <c r="P186" s="1" t="s">
        <v>20</v>
      </c>
    </row>
    <row r="187" spans="1:16" x14ac:dyDescent="0.35">
      <c r="A187" s="1">
        <v>50520862</v>
      </c>
      <c r="B187" s="1" t="str">
        <f>_xlfn.XLOOKUP(A187,Sheet1!A:A,Sheet1!D:D,"")</f>
        <v>CAPERTEE</v>
      </c>
      <c r="C187" s="1" t="s">
        <v>504</v>
      </c>
      <c r="D187" s="2">
        <f>_xlfn.XLOOKUP(A187,Sheet1!A:A,Sheet1!C:C,"")</f>
        <v>997</v>
      </c>
      <c r="E187" s="2">
        <v>1299.99</v>
      </c>
      <c r="F187" s="1" t="s">
        <v>112</v>
      </c>
      <c r="G187" s="1" t="s">
        <v>1161</v>
      </c>
      <c r="I187" s="1" t="s">
        <v>14</v>
      </c>
      <c r="J187" s="1" t="s">
        <v>451</v>
      </c>
      <c r="K187" s="1" t="s">
        <v>39</v>
      </c>
      <c r="L187" s="1" t="s">
        <v>17</v>
      </c>
      <c r="M187" s="1" t="s">
        <v>18</v>
      </c>
      <c r="N187" s="1" t="s">
        <v>17</v>
      </c>
      <c r="O187" s="1" t="s">
        <v>17</v>
      </c>
      <c r="P187" s="1" t="s">
        <v>20</v>
      </c>
    </row>
    <row r="188" spans="1:16" x14ac:dyDescent="0.35">
      <c r="A188" s="1">
        <v>50520925</v>
      </c>
      <c r="B188" s="1" t="str">
        <f>_xlfn.XLOOKUP(A188,Sheet1!A:A,Sheet1!D:D,"")</f>
        <v>ARADA CANYON</v>
      </c>
      <c r="C188" s="1" t="s">
        <v>507</v>
      </c>
      <c r="D188" s="2">
        <f>_xlfn.XLOOKUP(A188,Sheet1!A:A,Sheet1!C:C,"")</f>
        <v>1497</v>
      </c>
      <c r="E188" s="2">
        <v>1799.99</v>
      </c>
      <c r="F188" s="1" t="s">
        <v>112</v>
      </c>
      <c r="G188" s="1" t="s">
        <v>1161</v>
      </c>
      <c r="I188" s="1" t="s">
        <v>14</v>
      </c>
      <c r="J188" s="1" t="s">
        <v>451</v>
      </c>
      <c r="K188" s="1" t="s">
        <v>39</v>
      </c>
      <c r="L188" s="1" t="s">
        <v>28</v>
      </c>
      <c r="M188" s="1" t="s">
        <v>31</v>
      </c>
      <c r="N188" s="1" t="s">
        <v>17</v>
      </c>
      <c r="O188" s="1" t="s">
        <v>17</v>
      </c>
      <c r="P188" s="1" t="s">
        <v>33</v>
      </c>
    </row>
    <row r="189" spans="1:16" x14ac:dyDescent="0.35">
      <c r="A189" s="1">
        <v>50522210</v>
      </c>
      <c r="B189" s="1" t="str">
        <f>_xlfn.XLOOKUP(A189,Sheet1!A:A,Sheet1!D:D,"")</f>
        <v>OCEANA MIST</v>
      </c>
      <c r="C189" s="1" t="s">
        <v>508</v>
      </c>
      <c r="D189" s="2">
        <f>_xlfn.XLOOKUP(A189,Sheet1!A:A,Sheet1!C:C,"")</f>
        <v>397</v>
      </c>
      <c r="E189" s="2">
        <v>699.99</v>
      </c>
      <c r="F189" s="1" t="s">
        <v>117</v>
      </c>
      <c r="G189" s="1" t="s">
        <v>1161</v>
      </c>
      <c r="H189" s="1" t="s">
        <v>118</v>
      </c>
      <c r="I189" s="1" t="s">
        <v>14</v>
      </c>
      <c r="J189" s="1" t="s">
        <v>451</v>
      </c>
      <c r="K189" s="1" t="s">
        <v>25</v>
      </c>
      <c r="L189" s="1" t="s">
        <v>19</v>
      </c>
      <c r="M189" s="1" t="s">
        <v>18</v>
      </c>
      <c r="N189" s="1" t="s">
        <v>17</v>
      </c>
      <c r="O189" s="1" t="s">
        <v>19</v>
      </c>
      <c r="P189" s="1" t="s">
        <v>20</v>
      </c>
    </row>
    <row r="190" spans="1:16" x14ac:dyDescent="0.35">
      <c r="A190" s="1">
        <v>50525747</v>
      </c>
      <c r="B190" s="1" t="str">
        <f>_xlfn.XLOOKUP(A190,Sheet1!A:A,Sheet1!D:D,"")</f>
        <v>LEVEL THREE PLUSH</v>
      </c>
      <c r="C190" s="1" t="s">
        <v>510</v>
      </c>
      <c r="D190" s="2">
        <f>_xlfn.XLOOKUP(A190,Sheet1!A:A,Sheet1!C:C,"")</f>
        <v>1399</v>
      </c>
      <c r="E190" s="2">
        <v>1399</v>
      </c>
      <c r="F190" s="1" t="s">
        <v>121</v>
      </c>
      <c r="H190" s="1" t="s">
        <v>122</v>
      </c>
      <c r="I190" s="1" t="s">
        <v>14</v>
      </c>
      <c r="J190" s="1" t="s">
        <v>451</v>
      </c>
      <c r="K190" s="1" t="s">
        <v>39</v>
      </c>
      <c r="L190" s="1" t="s">
        <v>28</v>
      </c>
      <c r="M190" s="1" t="s">
        <v>31</v>
      </c>
      <c r="N190" s="1" t="s">
        <v>28</v>
      </c>
      <c r="O190" s="1" t="s">
        <v>28</v>
      </c>
      <c r="P190" s="1" t="s">
        <v>33</v>
      </c>
    </row>
    <row r="191" spans="1:16" x14ac:dyDescent="0.35">
      <c r="A191" s="1">
        <v>50525759</v>
      </c>
      <c r="B191" s="1" t="str">
        <f>_xlfn.XLOOKUP(A191,Sheet1!A:A,Sheet1!D:D,"")</f>
        <v>LEVEL THREE MEDIUM PILLOWTOP</v>
      </c>
      <c r="C191" s="1" t="s">
        <v>511</v>
      </c>
      <c r="D191" s="2">
        <f>_xlfn.XLOOKUP(A191,Sheet1!A:A,Sheet1!C:C,"")</f>
        <v>1599</v>
      </c>
      <c r="E191" s="2">
        <v>1599</v>
      </c>
      <c r="F191" s="1" t="s">
        <v>121</v>
      </c>
      <c r="H191" s="1" t="s">
        <v>124</v>
      </c>
      <c r="I191" s="1" t="s">
        <v>14</v>
      </c>
      <c r="J191" s="1" t="s">
        <v>451</v>
      </c>
      <c r="K191" s="1" t="s">
        <v>39</v>
      </c>
      <c r="L191" s="1" t="s">
        <v>28</v>
      </c>
      <c r="M191" s="1" t="s">
        <v>18</v>
      </c>
      <c r="N191" s="1" t="s">
        <v>28</v>
      </c>
      <c r="O191" s="1" t="s">
        <v>28</v>
      </c>
      <c r="P191" s="1" t="s">
        <v>20</v>
      </c>
    </row>
    <row r="192" spans="1:16" x14ac:dyDescent="0.35">
      <c r="A192" s="1">
        <v>50525800</v>
      </c>
      <c r="B192" s="1" t="str">
        <f>_xlfn.XLOOKUP(A192,Sheet1!A:A,Sheet1!D:D,"")</f>
        <v>LEVEL FOUR PLUSH PILLOWTOP</v>
      </c>
      <c r="C192" s="1" t="s">
        <v>512</v>
      </c>
      <c r="D192" s="2">
        <f>_xlfn.XLOOKUP(A192,Sheet1!A:A,Sheet1!C:C,"")</f>
        <v>1899</v>
      </c>
      <c r="E192" s="2">
        <v>1899</v>
      </c>
      <c r="F192" s="1" t="s">
        <v>121</v>
      </c>
      <c r="H192" s="1" t="s">
        <v>126</v>
      </c>
      <c r="I192" s="1" t="s">
        <v>14</v>
      </c>
      <c r="J192" s="1" t="s">
        <v>451</v>
      </c>
      <c r="K192" s="1" t="s">
        <v>39</v>
      </c>
      <c r="L192" s="1" t="s">
        <v>32</v>
      </c>
      <c r="M192" s="1" t="s">
        <v>31</v>
      </c>
      <c r="N192" s="1" t="s">
        <v>28</v>
      </c>
      <c r="O192" s="1" t="s">
        <v>28</v>
      </c>
      <c r="P192" s="1" t="s">
        <v>33</v>
      </c>
    </row>
    <row r="193" spans="1:16" x14ac:dyDescent="0.35">
      <c r="A193" s="1">
        <v>50528957</v>
      </c>
      <c r="B193" s="1" t="str">
        <f>_xlfn.XLOOKUP(A193,Sheet1!A:A,Sheet1!D:D,"")</f>
        <v>KERRY PARK</v>
      </c>
      <c r="C193" s="1" t="s">
        <v>513</v>
      </c>
      <c r="D193" s="2">
        <f>_xlfn.XLOOKUP(A193,Sheet1!A:A,Sheet1!C:C,"")</f>
        <v>897</v>
      </c>
      <c r="E193" s="2">
        <v>1499</v>
      </c>
      <c r="F193" s="1" t="s">
        <v>128</v>
      </c>
      <c r="G193" s="1" t="s">
        <v>1161</v>
      </c>
      <c r="I193" s="1" t="s">
        <v>14</v>
      </c>
      <c r="J193" s="1" t="s">
        <v>451</v>
      </c>
      <c r="K193" s="1" t="s">
        <v>39</v>
      </c>
      <c r="L193" s="1" t="s">
        <v>28</v>
      </c>
      <c r="M193" s="1" t="s">
        <v>31</v>
      </c>
      <c r="N193" s="1" t="s">
        <v>17</v>
      </c>
      <c r="O193" s="1" t="s">
        <v>17</v>
      </c>
      <c r="P193" s="1" t="s">
        <v>100</v>
      </c>
    </row>
    <row r="194" spans="1:16" x14ac:dyDescent="0.35">
      <c r="A194" s="1">
        <v>50528969</v>
      </c>
      <c r="B194" s="1" t="str">
        <f>_xlfn.XLOOKUP(A194,Sheet1!A:A,Sheet1!D:D,"")</f>
        <v>BRADFORD HILL</v>
      </c>
      <c r="C194" s="1" t="s">
        <v>514</v>
      </c>
      <c r="D194" s="2">
        <f>_xlfn.XLOOKUP(A194,Sheet1!A:A,Sheet1!C:C,"")</f>
        <v>695</v>
      </c>
      <c r="E194" s="2">
        <v>799</v>
      </c>
      <c r="F194" s="1" t="s">
        <v>128</v>
      </c>
      <c r="G194" s="1" t="s">
        <v>1161</v>
      </c>
      <c r="I194" s="1" t="s">
        <v>14</v>
      </c>
      <c r="J194" s="1" t="s">
        <v>451</v>
      </c>
      <c r="K194" s="1" t="s">
        <v>16</v>
      </c>
      <c r="L194" s="1" t="s">
        <v>17</v>
      </c>
      <c r="M194" s="1" t="s">
        <v>18</v>
      </c>
      <c r="N194" s="1" t="s">
        <v>17</v>
      </c>
      <c r="O194" s="1" t="s">
        <v>19</v>
      </c>
      <c r="P194" s="1" t="s">
        <v>20</v>
      </c>
    </row>
    <row r="195" spans="1:16" x14ac:dyDescent="0.35">
      <c r="A195" s="1">
        <v>50528971</v>
      </c>
      <c r="B195" s="1" t="str">
        <f>_xlfn.XLOOKUP(A195,Sheet1!A:A,Sheet1!D:D,"")</f>
        <v>NORTHGATE</v>
      </c>
      <c r="C195" s="1" t="s">
        <v>515</v>
      </c>
      <c r="D195" s="2">
        <f>_xlfn.XLOOKUP(A195,Sheet1!A:A,Sheet1!C:C,"")</f>
        <v>997</v>
      </c>
      <c r="E195" s="2">
        <v>1799</v>
      </c>
      <c r="F195" s="1" t="s">
        <v>128</v>
      </c>
      <c r="G195" s="1" t="s">
        <v>1161</v>
      </c>
      <c r="J195" s="1" t="s">
        <v>451</v>
      </c>
      <c r="K195" s="1" t="s">
        <v>16</v>
      </c>
      <c r="L195" s="1" t="s">
        <v>28</v>
      </c>
      <c r="M195" s="1" t="s">
        <v>18</v>
      </c>
      <c r="N195" s="1" t="s">
        <v>17</v>
      </c>
      <c r="O195" s="1" t="s">
        <v>17</v>
      </c>
      <c r="P195" s="1" t="s">
        <v>20</v>
      </c>
    </row>
    <row r="196" spans="1:16" x14ac:dyDescent="0.35">
      <c r="A196" s="1">
        <v>50529175</v>
      </c>
      <c r="B196" s="1" t="str">
        <f>_xlfn.XLOOKUP(A196,Sheet1!A:A,Sheet1!D:D,"")</f>
        <v>BRIERWOOD</v>
      </c>
      <c r="C196" s="1" t="s">
        <v>516</v>
      </c>
      <c r="D196" s="2">
        <f>_xlfn.XLOOKUP(A196,Sheet1!A:A,Sheet1!C:C,"")</f>
        <v>677</v>
      </c>
      <c r="E196" s="2">
        <v>799</v>
      </c>
      <c r="F196" s="1" t="s">
        <v>134</v>
      </c>
      <c r="G196" s="1" t="s">
        <v>1161</v>
      </c>
      <c r="H196" s="1" t="s">
        <v>135</v>
      </c>
      <c r="I196" s="1" t="s">
        <v>14</v>
      </c>
      <c r="J196" s="1" t="s">
        <v>451</v>
      </c>
      <c r="K196" s="1" t="s">
        <v>39</v>
      </c>
      <c r="L196" s="1" t="s">
        <v>19</v>
      </c>
      <c r="M196" s="1" t="s">
        <v>18</v>
      </c>
      <c r="N196" s="1" t="s">
        <v>19</v>
      </c>
      <c r="O196" s="1" t="s">
        <v>19</v>
      </c>
      <c r="P196" s="1" t="s">
        <v>20</v>
      </c>
    </row>
    <row r="197" spans="1:16" x14ac:dyDescent="0.35">
      <c r="A197" s="1">
        <v>50529202</v>
      </c>
      <c r="B197" s="1" t="str">
        <f>_xlfn.XLOOKUP(A197,Sheet1!A:A,Sheet1!D:D,"")</f>
        <v>CASTLE ROCK</v>
      </c>
      <c r="C197" s="1" t="s">
        <v>518</v>
      </c>
      <c r="D197" s="2">
        <f>_xlfn.XLOOKUP(A197,Sheet1!A:A,Sheet1!C:C,"")</f>
        <v>997</v>
      </c>
      <c r="E197" s="2">
        <v>1199</v>
      </c>
      <c r="F197" s="1" t="s">
        <v>132</v>
      </c>
      <c r="G197" s="1" t="s">
        <v>1161</v>
      </c>
      <c r="H197" s="1" t="s">
        <v>138</v>
      </c>
      <c r="I197" s="1" t="s">
        <v>14</v>
      </c>
      <c r="J197" s="1" t="s">
        <v>451</v>
      </c>
      <c r="K197" s="1" t="s">
        <v>39</v>
      </c>
      <c r="L197" s="1" t="s">
        <v>17</v>
      </c>
      <c r="M197" s="1" t="s">
        <v>18</v>
      </c>
      <c r="N197" s="1" t="s">
        <v>17</v>
      </c>
      <c r="O197" s="1" t="s">
        <v>19</v>
      </c>
      <c r="P197" s="1" t="s">
        <v>20</v>
      </c>
    </row>
    <row r="198" spans="1:16" x14ac:dyDescent="0.35">
      <c r="A198" s="1">
        <v>50529214</v>
      </c>
      <c r="B198" s="1" t="str">
        <f>_xlfn.XLOOKUP(A198,Sheet1!A:A,Sheet1!D:D,"")</f>
        <v>PEBBLEBROOK</v>
      </c>
      <c r="C198" s="1" t="s">
        <v>519</v>
      </c>
      <c r="D198" s="2">
        <f>_xlfn.XLOOKUP(A198,Sheet1!A:A,Sheet1!C:C,"")</f>
        <v>1077</v>
      </c>
      <c r="E198" s="2">
        <v>1299</v>
      </c>
      <c r="F198" s="1" t="s">
        <v>140</v>
      </c>
      <c r="H198" s="1" t="s">
        <v>141</v>
      </c>
      <c r="I198" s="1" t="s">
        <v>14</v>
      </c>
      <c r="J198" s="1" t="s">
        <v>451</v>
      </c>
      <c r="K198" s="1" t="s">
        <v>39</v>
      </c>
      <c r="L198" s="1" t="s">
        <v>17</v>
      </c>
      <c r="M198" s="1" t="s">
        <v>18</v>
      </c>
      <c r="N198" s="1" t="s">
        <v>28</v>
      </c>
      <c r="O198" s="1" t="s">
        <v>17</v>
      </c>
      <c r="P198" s="1" t="s">
        <v>20</v>
      </c>
    </row>
    <row r="199" spans="1:16" x14ac:dyDescent="0.35">
      <c r="A199" s="1">
        <v>50537057</v>
      </c>
      <c r="B199" s="1" t="str">
        <f>_xlfn.XLOOKUP(A199,Sheet1!A:A,Sheet1!D:D,"")</f>
        <v>SERIES ONE EXTRA FIRM</v>
      </c>
      <c r="C199" s="1" t="s">
        <v>523</v>
      </c>
      <c r="D199" s="2">
        <f>_xlfn.XLOOKUP(A199,Sheet1!A:A,Sheet1!C:C,"")</f>
        <v>1999</v>
      </c>
      <c r="E199" s="2">
        <v>1999</v>
      </c>
      <c r="F199" s="1" t="s">
        <v>146</v>
      </c>
      <c r="H199" s="1" t="s">
        <v>147</v>
      </c>
      <c r="I199" s="1" t="s">
        <v>14</v>
      </c>
      <c r="J199" s="1" t="s">
        <v>451</v>
      </c>
      <c r="K199" s="1" t="s">
        <v>39</v>
      </c>
      <c r="L199" s="1" t="s">
        <v>17</v>
      </c>
      <c r="M199" s="1" t="s">
        <v>22</v>
      </c>
      <c r="N199" s="1" t="s">
        <v>32</v>
      </c>
      <c r="O199" s="1" t="s">
        <v>28</v>
      </c>
      <c r="P199" s="1" t="s">
        <v>98</v>
      </c>
    </row>
    <row r="200" spans="1:16" x14ac:dyDescent="0.35">
      <c r="A200" s="1">
        <v>50537134</v>
      </c>
      <c r="B200" s="1" t="str">
        <f>_xlfn.XLOOKUP(A200,Sheet1!A:A,Sheet1!D:D,"")</f>
        <v>SERIES TWO MEDIUM</v>
      </c>
      <c r="C200" s="1" t="s">
        <v>530</v>
      </c>
      <c r="D200" s="2">
        <f>_xlfn.XLOOKUP(A200,Sheet1!A:A,Sheet1!C:C,"")</f>
        <v>2999</v>
      </c>
      <c r="E200" s="2">
        <v>2999</v>
      </c>
      <c r="F200" s="1" t="s">
        <v>146</v>
      </c>
      <c r="H200" s="1" t="s">
        <v>395</v>
      </c>
      <c r="I200" s="1" t="s">
        <v>14</v>
      </c>
      <c r="J200" s="1" t="s">
        <v>451</v>
      </c>
      <c r="K200" s="1" t="s">
        <v>39</v>
      </c>
      <c r="L200" s="1" t="s">
        <v>28</v>
      </c>
      <c r="M200" s="1" t="s">
        <v>18</v>
      </c>
      <c r="N200" s="1" t="s">
        <v>32</v>
      </c>
      <c r="O200" s="1" t="s">
        <v>28</v>
      </c>
      <c r="P200" s="1" t="s">
        <v>20</v>
      </c>
    </row>
    <row r="201" spans="1:16" x14ac:dyDescent="0.35">
      <c r="A201" s="1">
        <v>50537223</v>
      </c>
      <c r="B201" s="1" t="str">
        <f>_xlfn.XLOOKUP(A201,Sheet1!A:A,Sheet1!D:D,"")</f>
        <v>SERIES THREE PLUSH PILLOW TOP</v>
      </c>
      <c r="C201" s="1" t="s">
        <v>538</v>
      </c>
      <c r="D201" s="2">
        <f>_xlfn.XLOOKUP(A201,Sheet1!A:A,Sheet1!C:C,"")</f>
        <v>4199</v>
      </c>
      <c r="E201" s="2">
        <v>4199</v>
      </c>
      <c r="F201" s="1" t="s">
        <v>146</v>
      </c>
      <c r="H201" s="1" t="s">
        <v>163</v>
      </c>
      <c r="I201" s="1" t="s">
        <v>14</v>
      </c>
      <c r="J201" s="1" t="s">
        <v>451</v>
      </c>
      <c r="K201" s="1" t="s">
        <v>39</v>
      </c>
      <c r="L201" s="1" t="s">
        <v>32</v>
      </c>
      <c r="M201" s="1" t="s">
        <v>31</v>
      </c>
      <c r="N201" s="1" t="s">
        <v>32</v>
      </c>
      <c r="O201" s="1" t="s">
        <v>28</v>
      </c>
      <c r="P201" s="1" t="s">
        <v>33</v>
      </c>
    </row>
    <row r="202" spans="1:16" x14ac:dyDescent="0.35">
      <c r="A202" s="1">
        <v>50548036</v>
      </c>
      <c r="B202" s="1" t="str">
        <f>_xlfn.XLOOKUP(A202,Sheet1!A:A,Sheet1!D:D,"")</f>
        <v>ESTATE FIRM TT</v>
      </c>
      <c r="C202" s="1" t="s">
        <v>554</v>
      </c>
      <c r="D202" s="2">
        <f>_xlfn.XLOOKUP(A202,Sheet1!A:A,Sheet1!C:C,"")</f>
        <v>2399</v>
      </c>
      <c r="E202" s="2">
        <v>2399</v>
      </c>
      <c r="F202" s="1" t="s">
        <v>178</v>
      </c>
      <c r="H202" s="1" t="s">
        <v>182</v>
      </c>
      <c r="I202" s="1" t="s">
        <v>14</v>
      </c>
      <c r="J202" s="1" t="s">
        <v>451</v>
      </c>
      <c r="K202" s="1" t="s">
        <v>39</v>
      </c>
      <c r="L202" s="1" t="s">
        <v>17</v>
      </c>
      <c r="M202" s="1" t="s">
        <v>22</v>
      </c>
      <c r="N202" s="1" t="s">
        <v>28</v>
      </c>
      <c r="O202" s="1" t="s">
        <v>17</v>
      </c>
      <c r="P202" s="1" t="s">
        <v>23</v>
      </c>
    </row>
    <row r="203" spans="1:16" x14ac:dyDescent="0.35">
      <c r="A203" s="1">
        <v>50548050</v>
      </c>
      <c r="B203" s="1" t="str">
        <f>_xlfn.XLOOKUP(A203,Sheet1!A:A,Sheet1!D:D,"")</f>
        <v>ESTATE FIRM PT</v>
      </c>
      <c r="C203" s="1" t="s">
        <v>556</v>
      </c>
      <c r="D203" s="2">
        <f>_xlfn.XLOOKUP(A203,Sheet1!A:A,Sheet1!C:C,"")</f>
        <v>2599</v>
      </c>
      <c r="E203" s="2">
        <v>2599</v>
      </c>
      <c r="F203" s="1" t="s">
        <v>178</v>
      </c>
      <c r="H203" s="1" t="s">
        <v>182</v>
      </c>
      <c r="I203" s="1" t="s">
        <v>14</v>
      </c>
      <c r="J203" s="1" t="s">
        <v>451</v>
      </c>
      <c r="K203" s="1" t="s">
        <v>39</v>
      </c>
      <c r="L203" s="1" t="s">
        <v>17</v>
      </c>
      <c r="M203" s="1" t="s">
        <v>22</v>
      </c>
      <c r="N203" s="1" t="s">
        <v>28</v>
      </c>
      <c r="O203" s="1" t="s">
        <v>17</v>
      </c>
      <c r="P203" s="1" t="s">
        <v>23</v>
      </c>
    </row>
    <row r="204" spans="1:16" x14ac:dyDescent="0.35">
      <c r="A204" s="1">
        <v>50548276</v>
      </c>
      <c r="B204" s="1" t="str">
        <f>_xlfn.XLOOKUP(A204,Sheet1!A:A,Sheet1!D:D,"")</f>
        <v>LUX ESTATE ELITE</v>
      </c>
      <c r="C204" s="1" t="s">
        <v>567</v>
      </c>
      <c r="D204" s="2">
        <f>_xlfn.XLOOKUP(A204,Sheet1!A:A,Sheet1!C:C,"")</f>
        <v>4199</v>
      </c>
      <c r="E204" s="2">
        <v>4199</v>
      </c>
      <c r="F204" s="1" t="s">
        <v>178</v>
      </c>
      <c r="H204" s="1" t="s">
        <v>568</v>
      </c>
      <c r="I204" s="1" t="s">
        <v>14</v>
      </c>
      <c r="J204" s="1" t="s">
        <v>451</v>
      </c>
      <c r="K204" s="1" t="s">
        <v>39</v>
      </c>
      <c r="L204" s="1" t="s">
        <v>28</v>
      </c>
      <c r="M204" s="1" t="s">
        <v>18</v>
      </c>
      <c r="N204" s="1" t="s">
        <v>32</v>
      </c>
      <c r="O204" s="1" t="s">
        <v>28</v>
      </c>
      <c r="P204" s="1" t="s">
        <v>20</v>
      </c>
    </row>
    <row r="205" spans="1:16" x14ac:dyDescent="0.35">
      <c r="A205" s="1">
        <v>50570110</v>
      </c>
      <c r="B205" s="1" t="str">
        <f>_xlfn.XLOOKUP(A205,Sheet1!A:A,Sheet1!D:D,"")</f>
        <v>HELIX MIDNIGHT LUXE</v>
      </c>
      <c r="C205" s="1" t="s">
        <v>571</v>
      </c>
      <c r="D205" s="2">
        <f>_xlfn.XLOOKUP(A205,Sheet1!A:A,Sheet1!C:C,"")</f>
        <v>2118</v>
      </c>
      <c r="E205" s="2">
        <v>2647.5</v>
      </c>
      <c r="F205" s="1" t="s">
        <v>201</v>
      </c>
      <c r="I205" s="1" t="s">
        <v>14</v>
      </c>
      <c r="J205" s="1" t="s">
        <v>451</v>
      </c>
      <c r="K205" s="1" t="s">
        <v>39</v>
      </c>
      <c r="L205" s="1" t="s">
        <v>28</v>
      </c>
      <c r="M205" s="1" t="s">
        <v>18</v>
      </c>
      <c r="N205" s="1" t="s">
        <v>28</v>
      </c>
      <c r="O205" s="1" t="s">
        <v>17</v>
      </c>
      <c r="P205" s="1" t="s">
        <v>20</v>
      </c>
    </row>
    <row r="206" spans="1:16" x14ac:dyDescent="0.35">
      <c r="A206" s="1">
        <v>50570122</v>
      </c>
      <c r="B206" s="1" t="str">
        <f>_xlfn.XLOOKUP(A206,Sheet1!A:A,Sheet1!D:D,"")</f>
        <v>HELIX MIDNIGHT ELITE</v>
      </c>
      <c r="C206" s="1" t="s">
        <v>572</v>
      </c>
      <c r="D206" s="2">
        <f>_xlfn.XLOOKUP(A206,Sheet1!A:A,Sheet1!C:C,"")</f>
        <v>2999</v>
      </c>
      <c r="E206" s="2">
        <v>3748.75</v>
      </c>
      <c r="F206" s="1" t="s">
        <v>201</v>
      </c>
      <c r="I206" s="1" t="s">
        <v>14</v>
      </c>
      <c r="J206" s="1" t="s">
        <v>451</v>
      </c>
      <c r="K206" s="1" t="s">
        <v>39</v>
      </c>
      <c r="L206" s="1" t="s">
        <v>32</v>
      </c>
      <c r="M206" s="1" t="s">
        <v>18</v>
      </c>
      <c r="N206" s="1" t="s">
        <v>28</v>
      </c>
      <c r="O206" s="1" t="s">
        <v>28</v>
      </c>
      <c r="P206" s="1" t="s">
        <v>20</v>
      </c>
    </row>
    <row r="207" spans="1:16" x14ac:dyDescent="0.35">
      <c r="A207" s="1">
        <v>50600482</v>
      </c>
      <c r="B207" s="1" t="str">
        <f>_xlfn.XLOOKUP(A207,Sheet1!A:A,Sheet1!D:D,"")</f>
        <v>BASELOGIC SILVER</v>
      </c>
      <c r="C207" s="1" t="s">
        <v>573</v>
      </c>
      <c r="D207" s="2">
        <f>_xlfn.XLOOKUP(A207,Sheet1!A:A,Sheet1!C:C,"")</f>
        <v>699</v>
      </c>
      <c r="E207" s="2">
        <v>799</v>
      </c>
      <c r="F207" s="1" t="s">
        <v>433</v>
      </c>
      <c r="H207" s="1" t="s">
        <v>434</v>
      </c>
      <c r="I207" s="1" t="s">
        <v>14</v>
      </c>
      <c r="J207" s="1" t="s">
        <v>451</v>
      </c>
    </row>
    <row r="208" spans="1:16" x14ac:dyDescent="0.35">
      <c r="A208" s="1">
        <v>50600519</v>
      </c>
      <c r="B208" s="1" t="str">
        <f>_xlfn.XLOOKUP(A208,Sheet1!A:A,Sheet1!D:D,"")</f>
        <v>BASELOGIC PLATINUM</v>
      </c>
      <c r="C208" s="1" t="s">
        <v>574</v>
      </c>
      <c r="D208" s="2">
        <f>_xlfn.XLOOKUP(A208,Sheet1!A:A,Sheet1!C:C,"")</f>
        <v>1499</v>
      </c>
      <c r="E208" s="2">
        <v>1699</v>
      </c>
      <c r="F208" s="1" t="s">
        <v>433</v>
      </c>
      <c r="H208" s="1" t="s">
        <v>436</v>
      </c>
      <c r="I208" s="1" t="s">
        <v>14</v>
      </c>
      <c r="J208" s="1" t="s">
        <v>451</v>
      </c>
    </row>
    <row r="209" spans="1:16" x14ac:dyDescent="0.35">
      <c r="A209" s="1">
        <v>50608161</v>
      </c>
      <c r="B209" s="1" t="str">
        <f>_xlfn.XLOOKUP(A209,Sheet1!A:A,Sheet1!D:D,"")</f>
        <v>TEMPUR-ERGO 3.0</v>
      </c>
      <c r="C209" s="1" t="s">
        <v>576</v>
      </c>
      <c r="D209" s="2">
        <f>_xlfn.XLOOKUP(A209,Sheet1!A:A,Sheet1!C:C,"")</f>
        <v>1699</v>
      </c>
      <c r="E209" s="2">
        <v>1699</v>
      </c>
      <c r="F209" s="1" t="s">
        <v>46</v>
      </c>
      <c r="H209" s="1" t="s">
        <v>439</v>
      </c>
      <c r="I209" s="1" t="s">
        <v>14</v>
      </c>
      <c r="J209" s="1" t="s">
        <v>451</v>
      </c>
    </row>
    <row r="210" spans="1:16" x14ac:dyDescent="0.35">
      <c r="A210" s="1">
        <v>50608185</v>
      </c>
      <c r="B210" s="1" t="str">
        <f>_xlfn.XLOOKUP(A210,Sheet1!A:A,Sheet1!D:D,"")</f>
        <v>TEMPUR-ERGO 3.0 SMART</v>
      </c>
      <c r="C210" s="1" t="s">
        <v>577</v>
      </c>
      <c r="D210" s="2">
        <f>_xlfn.XLOOKUP(A210,Sheet1!A:A,Sheet1!C:C,"")</f>
        <v>2199</v>
      </c>
      <c r="E210" s="2">
        <v>2199</v>
      </c>
      <c r="F210" s="1" t="s">
        <v>46</v>
      </c>
      <c r="H210" s="1" t="s">
        <v>441</v>
      </c>
      <c r="I210" s="1" t="s">
        <v>14</v>
      </c>
      <c r="J210" s="1" t="s">
        <v>451</v>
      </c>
    </row>
    <row r="211" spans="1:16" x14ac:dyDescent="0.35">
      <c r="A211" s="1">
        <v>50608197</v>
      </c>
      <c r="B211" s="1" t="str">
        <f>_xlfn.XLOOKUP(A211,Sheet1!A:A,Sheet1!D:D,"")</f>
        <v>TEMPUR-ERGO PROSMART</v>
      </c>
      <c r="C211" s="1" t="s">
        <v>578</v>
      </c>
      <c r="D211" s="2">
        <f>_xlfn.XLOOKUP(A211,Sheet1!A:A,Sheet1!C:C,"")</f>
        <v>2699</v>
      </c>
      <c r="E211" s="2">
        <v>2699</v>
      </c>
      <c r="F211" s="1" t="s">
        <v>46</v>
      </c>
      <c r="H211" s="1" t="s">
        <v>579</v>
      </c>
      <c r="I211" s="1" t="s">
        <v>14</v>
      </c>
      <c r="J211" s="1" t="s">
        <v>451</v>
      </c>
    </row>
    <row r="212" spans="1:16" x14ac:dyDescent="0.35">
      <c r="A212" s="1">
        <v>50608832</v>
      </c>
      <c r="B212" s="1" t="str">
        <f>_xlfn.XLOOKUP(A212,Sheet1!A:A,Sheet1!D:D,"")</f>
        <v>RTG-SLEEP 2900</v>
      </c>
      <c r="C212" s="1" t="s">
        <v>581</v>
      </c>
      <c r="D212" s="2">
        <f>_xlfn.XLOOKUP(A212,Sheet1!A:A,Sheet1!C:C,"")</f>
        <v>599</v>
      </c>
      <c r="E212" s="2">
        <v>599</v>
      </c>
      <c r="F212" s="1" t="s">
        <v>582</v>
      </c>
      <c r="G212" s="1" t="s">
        <v>1161</v>
      </c>
      <c r="H212" s="1" t="s">
        <v>583</v>
      </c>
      <c r="I212" s="1" t="s">
        <v>14</v>
      </c>
      <c r="J212" s="1" t="s">
        <v>451</v>
      </c>
    </row>
    <row r="213" spans="1:16" x14ac:dyDescent="0.35">
      <c r="A213" s="1">
        <v>50608894</v>
      </c>
      <c r="B213" s="1" t="str">
        <f>_xlfn.XLOOKUP(A213,Sheet1!A:A,Sheet1!D:D,"")</f>
        <v>RTG-SLEEP 3900</v>
      </c>
      <c r="C213" s="1" t="s">
        <v>584</v>
      </c>
      <c r="D213" s="2">
        <f>_xlfn.XLOOKUP(A213,Sheet1!A:A,Sheet1!C:C,"")</f>
        <v>799</v>
      </c>
      <c r="E213" s="2">
        <v>999</v>
      </c>
      <c r="F213" s="1" t="s">
        <v>582</v>
      </c>
      <c r="G213" s="1" t="s">
        <v>1161</v>
      </c>
      <c r="I213" s="1" t="s">
        <v>14</v>
      </c>
      <c r="J213" s="1" t="s">
        <v>451</v>
      </c>
    </row>
    <row r="214" spans="1:16" x14ac:dyDescent="0.35">
      <c r="A214" s="1">
        <v>50608957</v>
      </c>
      <c r="B214" s="1" t="str">
        <f>_xlfn.XLOOKUP(A214,Sheet1!A:A,Sheet1!D:D,"")</f>
        <v>RTG-SLEEP 5900</v>
      </c>
      <c r="C214" s="1" t="s">
        <v>585</v>
      </c>
      <c r="D214" s="2">
        <f>_xlfn.XLOOKUP(A214,Sheet1!A:A,Sheet1!C:C,"")</f>
        <v>1599</v>
      </c>
      <c r="E214" s="2">
        <v>1799</v>
      </c>
      <c r="F214" s="1" t="s">
        <v>586</v>
      </c>
      <c r="G214" s="1" t="s">
        <v>1161</v>
      </c>
      <c r="J214" s="1" t="s">
        <v>451</v>
      </c>
    </row>
    <row r="215" spans="1:16" x14ac:dyDescent="0.35">
      <c r="A215" s="1">
        <v>50618605</v>
      </c>
      <c r="B215" s="1" t="str">
        <f>_xlfn.XLOOKUP(A215,Sheet1!A:A,Sheet1!D:D,"")</f>
        <v>EASE 4.0</v>
      </c>
      <c r="C215" s="1" t="s">
        <v>587</v>
      </c>
      <c r="D215" s="2">
        <f>_xlfn.XLOOKUP(A215,Sheet1!A:A,Sheet1!C:C,"")</f>
        <v>999</v>
      </c>
      <c r="E215" s="2">
        <v>999</v>
      </c>
      <c r="F215" s="1" t="s">
        <v>443</v>
      </c>
      <c r="H215" s="1" t="s">
        <v>310</v>
      </c>
      <c r="I215" s="1" t="s">
        <v>14</v>
      </c>
      <c r="J215" s="1" t="s">
        <v>451</v>
      </c>
    </row>
    <row r="216" spans="1:16" x14ac:dyDescent="0.35">
      <c r="A216" s="1">
        <v>50700547</v>
      </c>
      <c r="B216" s="1" t="str">
        <f>_xlfn.XLOOKUP(A216,Sheet1!A:A,Sheet1!D:D,"")</f>
        <v>CASPER CLOUD ONE</v>
      </c>
      <c r="C216" s="1" t="s">
        <v>593</v>
      </c>
      <c r="D216" s="2">
        <f>_xlfn.XLOOKUP(A216,Sheet1!A:A,Sheet1!C:C,"")</f>
        <v>1319</v>
      </c>
      <c r="E216" s="2">
        <v>1649</v>
      </c>
      <c r="F216" s="1" t="s">
        <v>13</v>
      </c>
      <c r="I216" s="1" t="s">
        <v>14</v>
      </c>
      <c r="J216" s="1" t="s">
        <v>594</v>
      </c>
      <c r="K216" s="1" t="s">
        <v>16</v>
      </c>
      <c r="L216" s="1" t="s">
        <v>17</v>
      </c>
      <c r="M216" s="1" t="s">
        <v>18</v>
      </c>
      <c r="N216" s="1" t="s">
        <v>17</v>
      </c>
      <c r="O216" s="1" t="s">
        <v>19</v>
      </c>
      <c r="P216" s="1" t="s">
        <v>20</v>
      </c>
    </row>
    <row r="217" spans="1:16" x14ac:dyDescent="0.35">
      <c r="A217" s="1">
        <v>50700573</v>
      </c>
      <c r="B217" s="1" t="str">
        <f>_xlfn.XLOOKUP(A217,Sheet1!A:A,Sheet1!D:D,"")</f>
        <v>CASPER SNOW 2.0</v>
      </c>
      <c r="C217" s="1" t="s">
        <v>597</v>
      </c>
      <c r="D217" s="2">
        <f>_xlfn.XLOOKUP(A217,Sheet1!A:A,Sheet1!C:C,"")</f>
        <v>2595</v>
      </c>
      <c r="E217" s="2">
        <v>3295</v>
      </c>
      <c r="F217" s="1" t="s">
        <v>13</v>
      </c>
      <c r="H217" s="1" t="s">
        <v>27</v>
      </c>
      <c r="I217" s="1" t="s">
        <v>14</v>
      </c>
      <c r="J217" s="1" t="s">
        <v>594</v>
      </c>
      <c r="K217" s="1" t="s">
        <v>25</v>
      </c>
      <c r="L217" s="1" t="s">
        <v>17</v>
      </c>
      <c r="M217" s="1" t="s">
        <v>18</v>
      </c>
      <c r="N217" s="1" t="s">
        <v>17</v>
      </c>
      <c r="O217" s="1" t="s">
        <v>28</v>
      </c>
      <c r="P217" s="1" t="s">
        <v>20</v>
      </c>
    </row>
    <row r="218" spans="1:16" x14ac:dyDescent="0.35">
      <c r="A218" s="1">
        <v>50700585</v>
      </c>
      <c r="B218" s="1" t="str">
        <f>_xlfn.XLOOKUP(A218,Sheet1!A:A,Sheet1!D:D,"")</f>
        <v>CASPER SNOW MAX</v>
      </c>
      <c r="C218" s="1" t="s">
        <v>598</v>
      </c>
      <c r="D218" s="2">
        <f>_xlfn.XLOOKUP(A218,Sheet1!A:A,Sheet1!C:C,"")</f>
        <v>3895</v>
      </c>
      <c r="E218" s="2">
        <v>4895</v>
      </c>
      <c r="F218" s="1" t="s">
        <v>13</v>
      </c>
      <c r="H218" s="1" t="s">
        <v>30</v>
      </c>
      <c r="I218" s="1" t="s">
        <v>14</v>
      </c>
      <c r="J218" s="1" t="s">
        <v>594</v>
      </c>
      <c r="K218" s="1" t="s">
        <v>25</v>
      </c>
      <c r="L218" s="1" t="s">
        <v>28</v>
      </c>
      <c r="M218" s="1" t="s">
        <v>31</v>
      </c>
      <c r="N218" s="1" t="s">
        <v>17</v>
      </c>
      <c r="O218" s="1" t="s">
        <v>32</v>
      </c>
      <c r="P218" s="1" t="s">
        <v>33</v>
      </c>
    </row>
    <row r="219" spans="1:16" x14ac:dyDescent="0.35">
      <c r="A219" s="1">
        <v>50700686</v>
      </c>
      <c r="B219" s="1" t="str">
        <f>_xlfn.XLOOKUP(A219,Sheet1!A:A,Sheet1!D:D,"")</f>
        <v>CASPER ONYX 2.0</v>
      </c>
      <c r="C219" s="1" t="s">
        <v>600</v>
      </c>
      <c r="D219" s="2">
        <f>_xlfn.XLOOKUP(A219,Sheet1!A:A,Sheet1!C:C,"")</f>
        <v>1199</v>
      </c>
      <c r="E219" s="2">
        <v>1299</v>
      </c>
      <c r="F219" s="1" t="s">
        <v>13</v>
      </c>
      <c r="G219" s="1" t="s">
        <v>1161</v>
      </c>
      <c r="H219" s="1" t="s">
        <v>213</v>
      </c>
      <c r="I219" s="1" t="s">
        <v>14</v>
      </c>
      <c r="J219" s="1" t="s">
        <v>594</v>
      </c>
      <c r="K219" s="1" t="s">
        <v>16</v>
      </c>
      <c r="L219" s="1" t="s">
        <v>19</v>
      </c>
      <c r="M219" s="1" t="s">
        <v>18</v>
      </c>
      <c r="N219" s="1" t="s">
        <v>19</v>
      </c>
      <c r="O219" s="1" t="s">
        <v>19</v>
      </c>
      <c r="P219" s="1" t="s">
        <v>20</v>
      </c>
    </row>
    <row r="220" spans="1:16" x14ac:dyDescent="0.35">
      <c r="A220" s="1">
        <v>50701777</v>
      </c>
      <c r="B220" s="1" t="str">
        <f>_xlfn.XLOOKUP(A220,Sheet1!A:A,Sheet1!D:D,"")</f>
        <v>SMART MATCH 2.0</v>
      </c>
      <c r="C220" s="1" t="s">
        <v>601</v>
      </c>
      <c r="D220" s="2">
        <f>_xlfn.XLOOKUP(A220,Sheet1!A:A,Sheet1!C:C,"")</f>
        <v>1777</v>
      </c>
      <c r="E220" s="2">
        <v>4899</v>
      </c>
      <c r="F220" s="1" t="s">
        <v>38</v>
      </c>
      <c r="J220" s="1" t="s">
        <v>594</v>
      </c>
      <c r="K220" s="1" t="s">
        <v>39</v>
      </c>
      <c r="L220" s="1" t="s">
        <v>28</v>
      </c>
      <c r="M220" s="1" t="s">
        <v>18</v>
      </c>
      <c r="N220" s="1" t="s">
        <v>28</v>
      </c>
      <c r="O220" s="1" t="s">
        <v>17</v>
      </c>
      <c r="P220" s="1" t="s">
        <v>20</v>
      </c>
    </row>
    <row r="221" spans="1:16" x14ac:dyDescent="0.35">
      <c r="A221" s="1">
        <v>50707464</v>
      </c>
      <c r="B221" s="1" t="str">
        <f>_xlfn.XLOOKUP(A221,Sheet1!A:A,Sheet1!D:D,"")</f>
        <v>ADAPT 2.0 MEDIUM</v>
      </c>
      <c r="C221" s="1" t="s">
        <v>603</v>
      </c>
      <c r="D221" s="2">
        <f>_xlfn.XLOOKUP(A221,Sheet1!A:A,Sheet1!C:C,"")</f>
        <v>2899</v>
      </c>
      <c r="E221" s="2">
        <v>2899</v>
      </c>
      <c r="F221" s="1" t="s">
        <v>46</v>
      </c>
      <c r="H221" s="1" t="s">
        <v>47</v>
      </c>
      <c r="I221" s="1" t="s">
        <v>14</v>
      </c>
      <c r="J221" s="1" t="s">
        <v>594</v>
      </c>
      <c r="K221" s="1" t="s">
        <v>16</v>
      </c>
      <c r="L221" s="1" t="s">
        <v>28</v>
      </c>
      <c r="M221" s="1" t="s">
        <v>18</v>
      </c>
      <c r="N221" s="1" t="s">
        <v>28</v>
      </c>
      <c r="O221" s="1" t="s">
        <v>28</v>
      </c>
      <c r="P221" s="1" t="s">
        <v>20</v>
      </c>
    </row>
    <row r="222" spans="1:16" x14ac:dyDescent="0.35">
      <c r="A222" s="1">
        <v>50707476</v>
      </c>
      <c r="B222" s="1" t="str">
        <f>_xlfn.XLOOKUP(A222,Sheet1!A:A,Sheet1!D:D,"")</f>
        <v>ADAPT 2.0 MEDIUM HYBRID</v>
      </c>
      <c r="C222" s="1" t="s">
        <v>604</v>
      </c>
      <c r="D222" s="2">
        <f>_xlfn.XLOOKUP(A222,Sheet1!A:A,Sheet1!C:C,"")</f>
        <v>3199</v>
      </c>
      <c r="E222" s="2">
        <v>3199</v>
      </c>
      <c r="F222" s="1" t="s">
        <v>46</v>
      </c>
      <c r="H222" s="1" t="s">
        <v>49</v>
      </c>
      <c r="I222" s="1" t="s">
        <v>14</v>
      </c>
      <c r="J222" s="1" t="s">
        <v>594</v>
      </c>
      <c r="K222" s="1" t="s">
        <v>25</v>
      </c>
      <c r="L222" s="1" t="s">
        <v>28</v>
      </c>
      <c r="M222" s="1" t="s">
        <v>18</v>
      </c>
      <c r="N222" s="1" t="s">
        <v>28</v>
      </c>
      <c r="O222" s="1" t="s">
        <v>28</v>
      </c>
      <c r="P222" s="1" t="s">
        <v>20</v>
      </c>
    </row>
    <row r="223" spans="1:16" x14ac:dyDescent="0.35">
      <c r="A223" s="1">
        <v>50707488</v>
      </c>
      <c r="B223" s="1" t="str">
        <f>_xlfn.XLOOKUP(A223,Sheet1!A:A,Sheet1!D:D,"")</f>
        <v>PROADAPT 2.0 FIRM</v>
      </c>
      <c r="C223" s="1" t="s">
        <v>605</v>
      </c>
      <c r="D223" s="2">
        <f>_xlfn.XLOOKUP(A223,Sheet1!A:A,Sheet1!C:C,"")</f>
        <v>4099</v>
      </c>
      <c r="E223" s="2">
        <v>4099</v>
      </c>
      <c r="F223" s="1" t="s">
        <v>46</v>
      </c>
      <c r="H223" s="1" t="s">
        <v>51</v>
      </c>
      <c r="I223" s="1" t="s">
        <v>14</v>
      </c>
      <c r="J223" s="1" t="s">
        <v>594</v>
      </c>
      <c r="K223" s="1" t="s">
        <v>16</v>
      </c>
      <c r="L223" s="1" t="s">
        <v>28</v>
      </c>
      <c r="M223" s="1" t="s">
        <v>22</v>
      </c>
      <c r="N223" s="1" t="s">
        <v>32</v>
      </c>
      <c r="O223" s="1" t="s">
        <v>28</v>
      </c>
      <c r="P223" s="1" t="s">
        <v>23</v>
      </c>
    </row>
    <row r="224" spans="1:16" x14ac:dyDescent="0.35">
      <c r="A224" s="1">
        <v>50707515</v>
      </c>
      <c r="B224" s="1" t="str">
        <f>_xlfn.XLOOKUP(A224,Sheet1!A:A,Sheet1!D:D,"")</f>
        <v>PROBREEZE 2.0 MEDIUM HYBRID</v>
      </c>
      <c r="C224" s="1" t="s">
        <v>607</v>
      </c>
      <c r="D224" s="2">
        <f>_xlfn.XLOOKUP(A224,Sheet1!A:A,Sheet1!C:C,"")</f>
        <v>5099</v>
      </c>
      <c r="E224" s="2">
        <v>5099</v>
      </c>
      <c r="F224" s="1" t="s">
        <v>46</v>
      </c>
      <c r="H224" s="1" t="s">
        <v>54</v>
      </c>
      <c r="I224" s="1" t="s">
        <v>14</v>
      </c>
      <c r="J224" s="1" t="s">
        <v>594</v>
      </c>
      <c r="K224" s="1" t="s">
        <v>25</v>
      </c>
      <c r="L224" s="1" t="s">
        <v>28</v>
      </c>
      <c r="M224" s="1" t="s">
        <v>18</v>
      </c>
      <c r="N224" s="1" t="s">
        <v>32</v>
      </c>
      <c r="O224" s="1" t="s">
        <v>32</v>
      </c>
      <c r="P224" s="1" t="s">
        <v>20</v>
      </c>
    </row>
    <row r="225" spans="1:16" x14ac:dyDescent="0.35">
      <c r="A225" s="1">
        <v>50707527</v>
      </c>
      <c r="B225" s="1" t="str">
        <f>_xlfn.XLOOKUP(A225,Sheet1!A:A,Sheet1!D:D,"")</f>
        <v>PROADAPT 2.0 MEDIUM</v>
      </c>
      <c r="C225" s="1" t="s">
        <v>608</v>
      </c>
      <c r="D225" s="2">
        <f>_xlfn.XLOOKUP(A225,Sheet1!A:A,Sheet1!C:C,"")</f>
        <v>4099</v>
      </c>
      <c r="E225" s="2">
        <v>4099</v>
      </c>
      <c r="F225" s="1" t="s">
        <v>46</v>
      </c>
      <c r="H225" s="1" t="s">
        <v>51</v>
      </c>
      <c r="I225" s="1" t="s">
        <v>14</v>
      </c>
      <c r="J225" s="1" t="s">
        <v>594</v>
      </c>
      <c r="K225" s="1" t="s">
        <v>16</v>
      </c>
      <c r="L225" s="1" t="s">
        <v>28</v>
      </c>
      <c r="M225" s="1" t="s">
        <v>18</v>
      </c>
      <c r="N225" s="1" t="s">
        <v>32</v>
      </c>
      <c r="O225" s="1" t="s">
        <v>28</v>
      </c>
      <c r="P225" s="1" t="s">
        <v>20</v>
      </c>
    </row>
    <row r="226" spans="1:16" x14ac:dyDescent="0.35">
      <c r="A226" s="1">
        <v>50707539</v>
      </c>
      <c r="B226" s="1" t="str">
        <f>_xlfn.XLOOKUP(A226,Sheet1!A:A,Sheet1!D:D,"")</f>
        <v>PROADAPT 2.0 SOFT</v>
      </c>
      <c r="C226" s="1" t="s">
        <v>609</v>
      </c>
      <c r="D226" s="2">
        <f>_xlfn.XLOOKUP(A226,Sheet1!A:A,Sheet1!C:C,"")</f>
        <v>4099</v>
      </c>
      <c r="E226" s="2">
        <v>4099</v>
      </c>
      <c r="F226" s="1" t="s">
        <v>46</v>
      </c>
      <c r="H226" s="1" t="s">
        <v>57</v>
      </c>
      <c r="I226" s="1" t="s">
        <v>14</v>
      </c>
      <c r="J226" s="1" t="s">
        <v>594</v>
      </c>
      <c r="K226" s="1" t="s">
        <v>16</v>
      </c>
      <c r="L226" s="1" t="s">
        <v>32</v>
      </c>
      <c r="M226" s="1" t="s">
        <v>31</v>
      </c>
      <c r="N226" s="1" t="s">
        <v>32</v>
      </c>
      <c r="O226" s="1" t="s">
        <v>28</v>
      </c>
      <c r="P226" s="1" t="s">
        <v>33</v>
      </c>
    </row>
    <row r="227" spans="1:16" x14ac:dyDescent="0.35">
      <c r="A227" s="1">
        <v>50707553</v>
      </c>
      <c r="B227" s="1" t="str">
        <f>_xlfn.XLOOKUP(A227,Sheet1!A:A,Sheet1!D:D,"")</f>
        <v>PROADAPT 2.0 MEDIUM HYBRID</v>
      </c>
      <c r="C227" s="1" t="s">
        <v>610</v>
      </c>
      <c r="D227" s="2">
        <f>_xlfn.XLOOKUP(A227,Sheet1!A:A,Sheet1!C:C,"")</f>
        <v>4099</v>
      </c>
      <c r="E227" s="2">
        <v>4099</v>
      </c>
      <c r="F227" s="1" t="s">
        <v>46</v>
      </c>
      <c r="H227" s="1" t="s">
        <v>337</v>
      </c>
      <c r="I227" s="1" t="s">
        <v>14</v>
      </c>
      <c r="J227" s="1" t="s">
        <v>594</v>
      </c>
      <c r="K227" s="1" t="s">
        <v>25</v>
      </c>
      <c r="L227" s="1" t="s">
        <v>28</v>
      </c>
      <c r="M227" s="1" t="s">
        <v>18</v>
      </c>
      <c r="N227" s="1" t="s">
        <v>32</v>
      </c>
      <c r="O227" s="1" t="s">
        <v>28</v>
      </c>
      <c r="P227" s="1" t="s">
        <v>20</v>
      </c>
    </row>
    <row r="228" spans="1:16" x14ac:dyDescent="0.35">
      <c r="A228" s="1">
        <v>50707565</v>
      </c>
      <c r="B228" s="1" t="str">
        <f>_xlfn.XLOOKUP(A228,Sheet1!A:A,Sheet1!D:D,"")</f>
        <v>LUXEADAPT 2.0 SOFT</v>
      </c>
      <c r="C228" s="1" t="s">
        <v>611</v>
      </c>
      <c r="D228" s="2">
        <f>_xlfn.XLOOKUP(A228,Sheet1!A:A,Sheet1!C:C,"")</f>
        <v>5399</v>
      </c>
      <c r="E228" s="2">
        <v>5399</v>
      </c>
      <c r="F228" s="1" t="s">
        <v>46</v>
      </c>
      <c r="H228" s="1" t="s">
        <v>61</v>
      </c>
      <c r="I228" s="1" t="s">
        <v>14</v>
      </c>
      <c r="J228" s="1" t="s">
        <v>594</v>
      </c>
      <c r="K228" s="1" t="s">
        <v>16</v>
      </c>
      <c r="L228" s="1" t="s">
        <v>32</v>
      </c>
      <c r="M228" s="1" t="s">
        <v>31</v>
      </c>
      <c r="N228" s="1" t="s">
        <v>32</v>
      </c>
      <c r="O228" s="1" t="s">
        <v>28</v>
      </c>
      <c r="P228" s="1" t="s">
        <v>33</v>
      </c>
    </row>
    <row r="229" spans="1:16" x14ac:dyDescent="0.35">
      <c r="A229" s="1">
        <v>50707589</v>
      </c>
      <c r="B229" s="1" t="str">
        <f>_xlfn.XLOOKUP(A229,Sheet1!A:A,Sheet1!D:D,"")</f>
        <v>LUXEADAPT 2.0 MEDIUM HYBRID</v>
      </c>
      <c r="C229" s="1" t="s">
        <v>613</v>
      </c>
      <c r="D229" s="2">
        <f>_xlfn.XLOOKUP(A229,Sheet1!A:A,Sheet1!C:C,"")</f>
        <v>5399</v>
      </c>
      <c r="E229" s="2">
        <v>5399</v>
      </c>
      <c r="F229" s="1" t="s">
        <v>46</v>
      </c>
      <c r="H229" s="1" t="s">
        <v>64</v>
      </c>
      <c r="I229" s="1" t="s">
        <v>14</v>
      </c>
      <c r="J229" s="1" t="s">
        <v>594</v>
      </c>
      <c r="K229" s="1" t="s">
        <v>25</v>
      </c>
      <c r="L229" s="1" t="s">
        <v>32</v>
      </c>
      <c r="M229" s="1" t="s">
        <v>18</v>
      </c>
      <c r="N229" s="1" t="s">
        <v>32</v>
      </c>
      <c r="O229" s="1" t="s">
        <v>28</v>
      </c>
      <c r="P229" s="1" t="s">
        <v>20</v>
      </c>
    </row>
    <row r="230" spans="1:16" x14ac:dyDescent="0.35">
      <c r="A230" s="1">
        <v>50707628</v>
      </c>
      <c r="B230" s="1" t="str">
        <f>_xlfn.XLOOKUP(A230,Sheet1!A:A,Sheet1!D:D,"")</f>
        <v>LUXEBREEZE 2.0 FIRM</v>
      </c>
      <c r="C230" s="1" t="s">
        <v>617</v>
      </c>
      <c r="D230" s="2">
        <f>_xlfn.XLOOKUP(A230,Sheet1!A:A,Sheet1!C:C,"")</f>
        <v>6399</v>
      </c>
      <c r="E230" s="2">
        <v>6399</v>
      </c>
      <c r="F230" s="1" t="s">
        <v>46</v>
      </c>
      <c r="H230" s="1" t="s">
        <v>68</v>
      </c>
      <c r="I230" s="1" t="s">
        <v>14</v>
      </c>
      <c r="J230" s="1" t="s">
        <v>594</v>
      </c>
      <c r="K230" s="1" t="s">
        <v>16</v>
      </c>
      <c r="L230" s="1" t="s">
        <v>32</v>
      </c>
      <c r="M230" s="1" t="s">
        <v>22</v>
      </c>
      <c r="N230" s="1" t="s">
        <v>32</v>
      </c>
      <c r="O230" s="1" t="s">
        <v>32</v>
      </c>
      <c r="P230" s="1" t="s">
        <v>23</v>
      </c>
    </row>
    <row r="231" spans="1:16" x14ac:dyDescent="0.35">
      <c r="A231" s="1">
        <v>50709874</v>
      </c>
      <c r="B231" s="1" t="str">
        <f>_xlfn.XLOOKUP(A231,Sheet1!A:A,Sheet1!D:D,"")</f>
        <v>TUFT &amp; NEEDLE STITCH TN3.1</v>
      </c>
      <c r="C231" s="1" t="s">
        <v>618</v>
      </c>
      <c r="D231" s="2">
        <f>_xlfn.XLOOKUP(A231,Sheet1!A:A,Sheet1!C:C,"")</f>
        <v>1397</v>
      </c>
      <c r="E231" s="2">
        <v>1699</v>
      </c>
      <c r="F231" s="1" t="s">
        <v>71</v>
      </c>
      <c r="G231" s="1" t="s">
        <v>1161</v>
      </c>
      <c r="I231" s="1" t="s">
        <v>14</v>
      </c>
      <c r="J231" s="1" t="s">
        <v>594</v>
      </c>
      <c r="K231" s="1" t="s">
        <v>25</v>
      </c>
      <c r="L231" s="1" t="s">
        <v>17</v>
      </c>
      <c r="M231" s="1" t="s">
        <v>18</v>
      </c>
      <c r="N231" s="1" t="s">
        <v>17</v>
      </c>
      <c r="O231" s="1" t="s">
        <v>17</v>
      </c>
      <c r="P231" s="1" t="s">
        <v>20</v>
      </c>
    </row>
    <row r="232" spans="1:16" x14ac:dyDescent="0.35">
      <c r="A232" s="1">
        <v>50709886</v>
      </c>
      <c r="B232" s="1" t="str">
        <f>_xlfn.XLOOKUP(A232,Sheet1!A:A,Sheet1!D:D,"")</f>
        <v>TUFT &amp; NEEDLE STITCH TN5.1</v>
      </c>
      <c r="C232" s="1" t="s">
        <v>619</v>
      </c>
      <c r="D232" s="2">
        <f>_xlfn.XLOOKUP(A232,Sheet1!A:A,Sheet1!C:C,"")</f>
        <v>1495</v>
      </c>
      <c r="E232" s="2">
        <v>2199</v>
      </c>
      <c r="F232" s="1" t="s">
        <v>71</v>
      </c>
      <c r="G232" s="1" t="s">
        <v>1161</v>
      </c>
      <c r="I232" s="1" t="s">
        <v>14</v>
      </c>
      <c r="J232" s="1" t="s">
        <v>594</v>
      </c>
      <c r="K232" s="1" t="s">
        <v>25</v>
      </c>
      <c r="L232" s="1" t="s">
        <v>28</v>
      </c>
      <c r="M232" s="1" t="s">
        <v>22</v>
      </c>
      <c r="N232" s="1" t="s">
        <v>28</v>
      </c>
      <c r="O232" s="1" t="s">
        <v>28</v>
      </c>
      <c r="P232" s="1" t="s">
        <v>23</v>
      </c>
    </row>
    <row r="233" spans="1:16" x14ac:dyDescent="0.35">
      <c r="A233" s="1">
        <v>50709901</v>
      </c>
      <c r="B233" s="1" t="str">
        <f>_xlfn.XLOOKUP(A233,Sheet1!A:A,Sheet1!D:D,"")</f>
        <v>TUFT &amp; NEEDLE STITCH TN9.1</v>
      </c>
      <c r="C233" s="1" t="s">
        <v>621</v>
      </c>
      <c r="D233" s="2">
        <f>_xlfn.XLOOKUP(A233,Sheet1!A:A,Sheet1!C:C,"")</f>
        <v>2497</v>
      </c>
      <c r="E233" s="2">
        <v>2999</v>
      </c>
      <c r="F233" s="1" t="s">
        <v>71</v>
      </c>
      <c r="G233" s="1" t="s">
        <v>1161</v>
      </c>
      <c r="I233" s="1" t="s">
        <v>14</v>
      </c>
      <c r="J233" s="1" t="s">
        <v>594</v>
      </c>
      <c r="K233" s="1" t="s">
        <v>25</v>
      </c>
      <c r="L233" s="1" t="s">
        <v>32</v>
      </c>
      <c r="M233" s="1" t="s">
        <v>31</v>
      </c>
      <c r="N233" s="1" t="s">
        <v>28</v>
      </c>
      <c r="O233" s="1" t="s">
        <v>28</v>
      </c>
      <c r="P233" s="1" t="s">
        <v>33</v>
      </c>
    </row>
    <row r="234" spans="1:16" x14ac:dyDescent="0.35">
      <c r="A234" s="1">
        <v>50709937</v>
      </c>
      <c r="B234" s="1" t="str">
        <f>_xlfn.XLOOKUP(A234,Sheet1!A:A,Sheet1!D:D,"")</f>
        <v>TUFT &amp; NEEDLE TN1</v>
      </c>
      <c r="C234" s="1" t="s">
        <v>622</v>
      </c>
      <c r="D234" s="2">
        <f>_xlfn.XLOOKUP(A234,Sheet1!A:A,Sheet1!C:C,"")</f>
        <v>1177</v>
      </c>
      <c r="E234" s="2">
        <v>1299</v>
      </c>
      <c r="F234" s="1" t="s">
        <v>71</v>
      </c>
      <c r="G234" s="1" t="s">
        <v>1161</v>
      </c>
      <c r="H234" s="1" t="s">
        <v>77</v>
      </c>
      <c r="I234" s="1" t="s">
        <v>14</v>
      </c>
      <c r="J234" s="1" t="s">
        <v>594</v>
      </c>
      <c r="K234" s="1" t="s">
        <v>16</v>
      </c>
      <c r="L234" s="1" t="s">
        <v>19</v>
      </c>
      <c r="M234" s="1" t="s">
        <v>22</v>
      </c>
      <c r="N234" s="1" t="s">
        <v>19</v>
      </c>
      <c r="O234" s="1" t="s">
        <v>19</v>
      </c>
      <c r="P234" s="1" t="s">
        <v>23</v>
      </c>
    </row>
    <row r="235" spans="1:16" x14ac:dyDescent="0.35">
      <c r="A235" s="1">
        <v>50710574</v>
      </c>
      <c r="B235" s="1" t="str">
        <f>_xlfn.XLOOKUP(A235,Sheet1!A:A,Sheet1!D:D,"")</f>
        <v>MOLECULE CORE</v>
      </c>
      <c r="C235" s="1" t="s">
        <v>623</v>
      </c>
      <c r="D235" s="2">
        <f>_xlfn.XLOOKUP(A235,Sheet1!A:A,Sheet1!C:C,"")</f>
        <v>897</v>
      </c>
      <c r="E235" s="2">
        <v>1399</v>
      </c>
      <c r="F235" s="1" t="s">
        <v>79</v>
      </c>
      <c r="H235" s="1" t="s">
        <v>481</v>
      </c>
      <c r="I235" s="1" t="s">
        <v>14</v>
      </c>
      <c r="J235" s="1" t="s">
        <v>594</v>
      </c>
      <c r="K235" s="1" t="s">
        <v>16</v>
      </c>
      <c r="L235" s="1" t="s">
        <v>17</v>
      </c>
      <c r="M235" s="1" t="s">
        <v>18</v>
      </c>
      <c r="N235" s="1" t="s">
        <v>17</v>
      </c>
      <c r="O235" s="1" t="s">
        <v>17</v>
      </c>
      <c r="P235" s="1" t="s">
        <v>20</v>
      </c>
    </row>
    <row r="236" spans="1:16" x14ac:dyDescent="0.35">
      <c r="A236" s="1">
        <v>50710675</v>
      </c>
      <c r="B236" s="1" t="str">
        <f>_xlfn.XLOOKUP(A236,Sheet1!A:A,Sheet1!D:D,"")</f>
        <v>BROAD PEAK MEDIUM HYBRID</v>
      </c>
      <c r="C236" s="1" t="s">
        <v>624</v>
      </c>
      <c r="D236" s="2">
        <f>_xlfn.XLOOKUP(A236,Sheet1!A:A,Sheet1!C:C,"")</f>
        <v>1195</v>
      </c>
      <c r="E236" s="2">
        <v>1499.99</v>
      </c>
      <c r="F236" s="1" t="s">
        <v>81</v>
      </c>
      <c r="G236" s="1" t="s">
        <v>1161</v>
      </c>
      <c r="H236" s="1" t="s">
        <v>82</v>
      </c>
      <c r="I236" s="1" t="s">
        <v>14</v>
      </c>
      <c r="J236" s="1" t="s">
        <v>594</v>
      </c>
      <c r="K236" s="1" t="s">
        <v>25</v>
      </c>
      <c r="L236" s="1" t="s">
        <v>17</v>
      </c>
      <c r="M236" s="1" t="s">
        <v>18</v>
      </c>
      <c r="N236" s="1" t="s">
        <v>17</v>
      </c>
      <c r="O236" s="1" t="s">
        <v>17</v>
      </c>
      <c r="P236" s="1" t="s">
        <v>20</v>
      </c>
    </row>
    <row r="237" spans="1:16" x14ac:dyDescent="0.35">
      <c r="A237" s="1">
        <v>50711348</v>
      </c>
      <c r="B237" s="1" t="str">
        <f>_xlfn.XLOOKUP(A237,Sheet1!A:A,Sheet1!D:D,"")</f>
        <v>FORESTER</v>
      </c>
      <c r="C237" s="1" t="s">
        <v>629</v>
      </c>
      <c r="D237" s="2">
        <f>_xlfn.XLOOKUP(A237,Sheet1!A:A,Sheet1!C:C,"")</f>
        <v>1097</v>
      </c>
      <c r="E237" s="2">
        <v>1299.99</v>
      </c>
      <c r="F237" s="1" t="s">
        <v>93</v>
      </c>
      <c r="G237" s="1" t="s">
        <v>1161</v>
      </c>
      <c r="I237" s="1" t="s">
        <v>14</v>
      </c>
      <c r="J237" s="1" t="s">
        <v>594</v>
      </c>
      <c r="K237" s="1" t="s">
        <v>39</v>
      </c>
      <c r="L237" s="1" t="s">
        <v>19</v>
      </c>
      <c r="M237" s="1" t="s">
        <v>22</v>
      </c>
      <c r="N237" s="1" t="s">
        <v>17</v>
      </c>
      <c r="O237" s="1" t="s">
        <v>19</v>
      </c>
      <c r="P237" s="1" t="s">
        <v>98</v>
      </c>
    </row>
    <row r="238" spans="1:16" x14ac:dyDescent="0.35">
      <c r="A238" s="1">
        <v>50711362</v>
      </c>
      <c r="B238" s="1" t="str">
        <f>_xlfn.XLOOKUP(A238,Sheet1!A:A,Sheet1!D:D,"")</f>
        <v>DARLINGTON</v>
      </c>
      <c r="C238" s="1" t="s">
        <v>631</v>
      </c>
      <c r="D238" s="2">
        <f>_xlfn.XLOOKUP(A238,Sheet1!A:A,Sheet1!C:C,"")</f>
        <v>897</v>
      </c>
      <c r="E238" s="2">
        <v>999.99</v>
      </c>
      <c r="F238" s="1" t="s">
        <v>93</v>
      </c>
      <c r="G238" s="1" t="s">
        <v>1161</v>
      </c>
      <c r="I238" s="1" t="s">
        <v>14</v>
      </c>
      <c r="J238" s="1" t="s">
        <v>594</v>
      </c>
      <c r="K238" s="1" t="s">
        <v>39</v>
      </c>
      <c r="L238" s="1" t="s">
        <v>19</v>
      </c>
      <c r="M238" s="1" t="s">
        <v>18</v>
      </c>
      <c r="N238" s="1" t="s">
        <v>19</v>
      </c>
      <c r="O238" s="1" t="s">
        <v>17</v>
      </c>
      <c r="P238" s="1" t="s">
        <v>20</v>
      </c>
    </row>
    <row r="239" spans="1:16" x14ac:dyDescent="0.35">
      <c r="A239" s="1">
        <v>50711386</v>
      </c>
      <c r="B239" s="1" t="str">
        <f>_xlfn.XLOOKUP(A239,Sheet1!A:A,Sheet1!D:D,"")</f>
        <v>HASTINGS</v>
      </c>
      <c r="C239" s="1" t="s">
        <v>633</v>
      </c>
      <c r="D239" s="2">
        <f>_xlfn.XLOOKUP(A239,Sheet1!A:A,Sheet1!C:C,"")</f>
        <v>1177</v>
      </c>
      <c r="E239" s="2">
        <v>1499.99</v>
      </c>
      <c r="F239" s="1" t="s">
        <v>104</v>
      </c>
      <c r="G239" s="1" t="s">
        <v>1161</v>
      </c>
      <c r="J239" s="1" t="s">
        <v>594</v>
      </c>
      <c r="K239" s="1" t="s">
        <v>25</v>
      </c>
      <c r="L239" s="1" t="s">
        <v>19</v>
      </c>
      <c r="M239" s="1" t="s">
        <v>31</v>
      </c>
      <c r="N239" s="1" t="s">
        <v>17</v>
      </c>
      <c r="O239" s="1" t="s">
        <v>17</v>
      </c>
      <c r="P239" s="1" t="s">
        <v>33</v>
      </c>
    </row>
    <row r="240" spans="1:16" x14ac:dyDescent="0.35">
      <c r="A240" s="1">
        <v>50711451</v>
      </c>
      <c r="B240" s="1" t="str">
        <f>_xlfn.XLOOKUP(A240,Sheet1!A:A,Sheet1!D:D,"")</f>
        <v>KAANAPALI</v>
      </c>
      <c r="C240" s="1" t="s">
        <v>635</v>
      </c>
      <c r="D240" s="2">
        <f>_xlfn.XLOOKUP(A240,Sheet1!A:A,Sheet1!C:C,"")</f>
        <v>1899.99</v>
      </c>
      <c r="E240" s="2">
        <v>1899.99</v>
      </c>
      <c r="F240" s="1" t="s">
        <v>104</v>
      </c>
      <c r="G240" s="1" t="s">
        <v>1161</v>
      </c>
      <c r="I240" s="1" t="s">
        <v>14</v>
      </c>
      <c r="J240" s="1" t="s">
        <v>594</v>
      </c>
      <c r="K240" s="1" t="s">
        <v>25</v>
      </c>
      <c r="L240" s="1" t="s">
        <v>17</v>
      </c>
      <c r="M240" s="1" t="s">
        <v>22</v>
      </c>
      <c r="N240" s="1" t="s">
        <v>28</v>
      </c>
      <c r="O240" s="1" t="s">
        <v>17</v>
      </c>
      <c r="P240" s="1" t="s">
        <v>23</v>
      </c>
    </row>
    <row r="241" spans="1:16" x14ac:dyDescent="0.35">
      <c r="A241" s="1">
        <v>50711499</v>
      </c>
      <c r="B241" s="1" t="str">
        <f>_xlfn.XLOOKUP(A241,Sheet1!A:A,Sheet1!D:D,"")</f>
        <v>LEDO</v>
      </c>
      <c r="C241" s="1" t="s">
        <v>636</v>
      </c>
      <c r="D241" s="2">
        <f>_xlfn.XLOOKUP(A241,Sheet1!A:A,Sheet1!C:C,"")</f>
        <v>2299.9899999999998</v>
      </c>
      <c r="E241" s="2">
        <v>2299.9899999999998</v>
      </c>
      <c r="F241" s="1" t="s">
        <v>104</v>
      </c>
      <c r="G241" s="1" t="s">
        <v>1161</v>
      </c>
      <c r="I241" s="1" t="s">
        <v>14</v>
      </c>
      <c r="J241" s="1" t="s">
        <v>594</v>
      </c>
      <c r="K241" s="1" t="s">
        <v>25</v>
      </c>
      <c r="L241" s="1" t="s">
        <v>28</v>
      </c>
      <c r="M241" s="1" t="s">
        <v>18</v>
      </c>
      <c r="N241" s="1" t="s">
        <v>28</v>
      </c>
      <c r="O241" s="1" t="s">
        <v>17</v>
      </c>
      <c r="P241" s="1" t="s">
        <v>20</v>
      </c>
    </row>
    <row r="242" spans="1:16" x14ac:dyDescent="0.35">
      <c r="A242" s="1">
        <v>50720866</v>
      </c>
      <c r="B242" s="1" t="str">
        <f>_xlfn.XLOOKUP(A242,Sheet1!A:A,Sheet1!D:D,"")</f>
        <v>CAPERTEE</v>
      </c>
      <c r="C242" s="1" t="s">
        <v>642</v>
      </c>
      <c r="D242" s="2">
        <f>_xlfn.XLOOKUP(A242,Sheet1!A:A,Sheet1!C:C,"")</f>
        <v>1397</v>
      </c>
      <c r="E242" s="2">
        <v>1699.99</v>
      </c>
      <c r="F242" s="1" t="s">
        <v>112</v>
      </c>
      <c r="G242" s="1" t="s">
        <v>1161</v>
      </c>
      <c r="I242" s="1" t="s">
        <v>14</v>
      </c>
      <c r="J242" s="1" t="s">
        <v>594</v>
      </c>
      <c r="K242" s="1" t="s">
        <v>39</v>
      </c>
      <c r="L242" s="1" t="s">
        <v>17</v>
      </c>
      <c r="M242" s="1" t="s">
        <v>18</v>
      </c>
      <c r="N242" s="1" t="s">
        <v>17</v>
      </c>
      <c r="O242" s="1" t="s">
        <v>17</v>
      </c>
      <c r="P242" s="1" t="s">
        <v>20</v>
      </c>
    </row>
    <row r="243" spans="1:16" x14ac:dyDescent="0.35">
      <c r="A243" s="1">
        <v>50720929</v>
      </c>
      <c r="B243" s="1" t="str">
        <f>_xlfn.XLOOKUP(A243,Sheet1!A:A,Sheet1!D:D,"")</f>
        <v>ARADA CANYON</v>
      </c>
      <c r="C243" s="1" t="s">
        <v>645</v>
      </c>
      <c r="D243" s="2">
        <f>_xlfn.XLOOKUP(A243,Sheet1!A:A,Sheet1!C:C,"")</f>
        <v>2097</v>
      </c>
      <c r="E243" s="2">
        <v>2399.9899999999998</v>
      </c>
      <c r="F243" s="1" t="s">
        <v>112</v>
      </c>
      <c r="G243" s="1" t="s">
        <v>1161</v>
      </c>
      <c r="I243" s="1" t="s">
        <v>14</v>
      </c>
      <c r="J243" s="1" t="s">
        <v>594</v>
      </c>
      <c r="K243" s="1" t="s">
        <v>39</v>
      </c>
      <c r="L243" s="1" t="s">
        <v>28</v>
      </c>
      <c r="M243" s="1" t="s">
        <v>31</v>
      </c>
      <c r="N243" s="1" t="s">
        <v>17</v>
      </c>
      <c r="O243" s="1" t="s">
        <v>17</v>
      </c>
      <c r="P243" s="1" t="s">
        <v>33</v>
      </c>
    </row>
    <row r="244" spans="1:16" x14ac:dyDescent="0.35">
      <c r="A244" s="1">
        <v>50722214</v>
      </c>
      <c r="B244" s="1" t="str">
        <f>_xlfn.XLOOKUP(A244,Sheet1!A:A,Sheet1!D:D,"")</f>
        <v>OCEANA MIST</v>
      </c>
      <c r="C244" s="1" t="s">
        <v>646</v>
      </c>
      <c r="D244" s="2">
        <f>_xlfn.XLOOKUP(A244,Sheet1!A:A,Sheet1!C:C,"")</f>
        <v>697</v>
      </c>
      <c r="E244" s="2">
        <v>999.99</v>
      </c>
      <c r="F244" s="1" t="s">
        <v>117</v>
      </c>
      <c r="G244" s="1" t="s">
        <v>1161</v>
      </c>
      <c r="H244" s="1" t="s">
        <v>118</v>
      </c>
      <c r="I244" s="1" t="s">
        <v>14</v>
      </c>
      <c r="J244" s="1" t="s">
        <v>594</v>
      </c>
      <c r="K244" s="1" t="s">
        <v>25</v>
      </c>
      <c r="L244" s="1" t="s">
        <v>19</v>
      </c>
      <c r="M244" s="1" t="s">
        <v>18</v>
      </c>
      <c r="N244" s="1" t="s">
        <v>17</v>
      </c>
      <c r="O244" s="1" t="s">
        <v>19</v>
      </c>
      <c r="P244" s="1" t="s">
        <v>20</v>
      </c>
    </row>
    <row r="245" spans="1:16" x14ac:dyDescent="0.35">
      <c r="A245" s="1">
        <v>50725741</v>
      </c>
      <c r="B245" s="1" t="str">
        <f>_xlfn.XLOOKUP(A245,Sheet1!A:A,Sheet1!D:D,"")</f>
        <v>LEVEL THREE PLUSH</v>
      </c>
      <c r="C245" s="1" t="s">
        <v>648</v>
      </c>
      <c r="D245" s="2">
        <f>_xlfn.XLOOKUP(A245,Sheet1!A:A,Sheet1!C:C,"")</f>
        <v>1749</v>
      </c>
      <c r="E245" s="2">
        <v>1749</v>
      </c>
      <c r="F245" s="1" t="s">
        <v>121</v>
      </c>
      <c r="H245" s="1" t="s">
        <v>122</v>
      </c>
      <c r="I245" s="1" t="s">
        <v>14</v>
      </c>
      <c r="J245" s="1" t="s">
        <v>594</v>
      </c>
      <c r="K245" s="1" t="s">
        <v>39</v>
      </c>
      <c r="L245" s="1" t="s">
        <v>28</v>
      </c>
      <c r="M245" s="1" t="s">
        <v>31</v>
      </c>
      <c r="N245" s="1" t="s">
        <v>28</v>
      </c>
      <c r="O245" s="1" t="s">
        <v>28</v>
      </c>
      <c r="P245" s="1" t="s">
        <v>33</v>
      </c>
    </row>
    <row r="246" spans="1:16" x14ac:dyDescent="0.35">
      <c r="A246" s="1">
        <v>50725753</v>
      </c>
      <c r="B246" s="1" t="str">
        <f>_xlfn.XLOOKUP(A246,Sheet1!A:A,Sheet1!D:D,"")</f>
        <v>LEVEL THREE MEDIUM PILLOWTOP</v>
      </c>
      <c r="C246" s="1" t="s">
        <v>649</v>
      </c>
      <c r="D246" s="2">
        <f>_xlfn.XLOOKUP(A246,Sheet1!A:A,Sheet1!C:C,"")</f>
        <v>1949</v>
      </c>
      <c r="E246" s="2">
        <v>1949</v>
      </c>
      <c r="F246" s="1" t="s">
        <v>121</v>
      </c>
      <c r="H246" s="1" t="s">
        <v>124</v>
      </c>
      <c r="I246" s="1" t="s">
        <v>14</v>
      </c>
      <c r="J246" s="1" t="s">
        <v>594</v>
      </c>
      <c r="K246" s="1" t="s">
        <v>39</v>
      </c>
      <c r="L246" s="1" t="s">
        <v>28</v>
      </c>
      <c r="M246" s="1" t="s">
        <v>18</v>
      </c>
      <c r="N246" s="1" t="s">
        <v>28</v>
      </c>
      <c r="O246" s="1" t="s">
        <v>28</v>
      </c>
      <c r="P246" s="1" t="s">
        <v>20</v>
      </c>
    </row>
    <row r="247" spans="1:16" x14ac:dyDescent="0.35">
      <c r="A247" s="1">
        <v>50725804</v>
      </c>
      <c r="B247" s="1" t="str">
        <f>_xlfn.XLOOKUP(A247,Sheet1!A:A,Sheet1!D:D,"")</f>
        <v>LEVEL FOUR PLUSH PILLOWTOP</v>
      </c>
      <c r="C247" s="1" t="s">
        <v>650</v>
      </c>
      <c r="D247" s="2">
        <f>_xlfn.XLOOKUP(A247,Sheet1!A:A,Sheet1!C:C,"")</f>
        <v>2299</v>
      </c>
      <c r="E247" s="2">
        <v>2299</v>
      </c>
      <c r="F247" s="1" t="s">
        <v>121</v>
      </c>
      <c r="H247" s="1" t="s">
        <v>126</v>
      </c>
      <c r="I247" s="1" t="s">
        <v>14</v>
      </c>
      <c r="J247" s="1" t="s">
        <v>594</v>
      </c>
      <c r="K247" s="1" t="s">
        <v>39</v>
      </c>
      <c r="L247" s="1" t="s">
        <v>32</v>
      </c>
      <c r="M247" s="1" t="s">
        <v>31</v>
      </c>
      <c r="N247" s="1" t="s">
        <v>28</v>
      </c>
      <c r="O247" s="1" t="s">
        <v>28</v>
      </c>
      <c r="P247" s="1" t="s">
        <v>33</v>
      </c>
    </row>
    <row r="248" spans="1:16" x14ac:dyDescent="0.35">
      <c r="A248" s="1">
        <v>50728951</v>
      </c>
      <c r="B248" s="1" t="str">
        <f>_xlfn.XLOOKUP(A248,Sheet1!A:A,Sheet1!D:D,"")</f>
        <v>KERRY PARK</v>
      </c>
      <c r="C248" s="1" t="s">
        <v>651</v>
      </c>
      <c r="D248" s="2">
        <f>_xlfn.XLOOKUP(A248,Sheet1!A:A,Sheet1!C:C,"")</f>
        <v>1397</v>
      </c>
      <c r="E248" s="2">
        <v>1999</v>
      </c>
      <c r="F248" s="1" t="s">
        <v>128</v>
      </c>
      <c r="G248" s="1" t="s">
        <v>1161</v>
      </c>
      <c r="I248" s="1" t="s">
        <v>14</v>
      </c>
      <c r="J248" s="1" t="s">
        <v>594</v>
      </c>
      <c r="K248" s="1" t="s">
        <v>39</v>
      </c>
      <c r="L248" s="1" t="s">
        <v>28</v>
      </c>
      <c r="M248" s="1" t="s">
        <v>31</v>
      </c>
      <c r="N248" s="1" t="s">
        <v>17</v>
      </c>
      <c r="O248" s="1" t="s">
        <v>17</v>
      </c>
      <c r="P248" s="1" t="s">
        <v>100</v>
      </c>
    </row>
    <row r="249" spans="1:16" x14ac:dyDescent="0.35">
      <c r="A249" s="1">
        <v>50728963</v>
      </c>
      <c r="B249" s="1" t="str">
        <f>_xlfn.XLOOKUP(A249,Sheet1!A:A,Sheet1!D:D,"")</f>
        <v>BRADFORD HILL</v>
      </c>
      <c r="C249" s="1" t="s">
        <v>652</v>
      </c>
      <c r="D249" s="2">
        <f>_xlfn.XLOOKUP(A249,Sheet1!A:A,Sheet1!C:C,"")</f>
        <v>995</v>
      </c>
      <c r="E249" s="2">
        <v>1099</v>
      </c>
      <c r="F249" s="1" t="s">
        <v>128</v>
      </c>
      <c r="G249" s="1" t="s">
        <v>1161</v>
      </c>
      <c r="I249" s="1" t="s">
        <v>14</v>
      </c>
      <c r="J249" s="1" t="s">
        <v>594</v>
      </c>
      <c r="K249" s="1" t="s">
        <v>16</v>
      </c>
      <c r="L249" s="1" t="s">
        <v>17</v>
      </c>
      <c r="M249" s="1" t="s">
        <v>18</v>
      </c>
      <c r="N249" s="1" t="s">
        <v>17</v>
      </c>
      <c r="O249" s="1" t="s">
        <v>19</v>
      </c>
      <c r="P249" s="1" t="s">
        <v>20</v>
      </c>
    </row>
    <row r="250" spans="1:16" x14ac:dyDescent="0.35">
      <c r="A250" s="1">
        <v>50728975</v>
      </c>
      <c r="B250" s="1" t="str">
        <f>_xlfn.XLOOKUP(A250,Sheet1!A:A,Sheet1!D:D,"")</f>
        <v>NORTHGATE</v>
      </c>
      <c r="C250" s="1" t="s">
        <v>653</v>
      </c>
      <c r="D250" s="2">
        <f>_xlfn.XLOOKUP(A250,Sheet1!A:A,Sheet1!C:C,"")</f>
        <v>1497</v>
      </c>
      <c r="E250" s="2">
        <v>2299</v>
      </c>
      <c r="F250" s="1" t="s">
        <v>128</v>
      </c>
      <c r="G250" s="1" t="s">
        <v>1161</v>
      </c>
      <c r="J250" s="1" t="s">
        <v>594</v>
      </c>
      <c r="K250" s="1" t="s">
        <v>16</v>
      </c>
      <c r="L250" s="1" t="s">
        <v>28</v>
      </c>
      <c r="M250" s="1" t="s">
        <v>18</v>
      </c>
      <c r="N250" s="1" t="s">
        <v>17</v>
      </c>
      <c r="O250" s="1" t="s">
        <v>17</v>
      </c>
      <c r="P250" s="1" t="s">
        <v>20</v>
      </c>
    </row>
    <row r="251" spans="1:16" x14ac:dyDescent="0.35">
      <c r="A251" s="1">
        <v>50729179</v>
      </c>
      <c r="B251" s="1" t="str">
        <f>_xlfn.XLOOKUP(A251,Sheet1!A:A,Sheet1!D:D,"")</f>
        <v>BRIERWOOD</v>
      </c>
      <c r="C251" s="1" t="s">
        <v>654</v>
      </c>
      <c r="D251" s="2">
        <f>_xlfn.XLOOKUP(A251,Sheet1!A:A,Sheet1!C:C,"")</f>
        <v>1077</v>
      </c>
      <c r="E251" s="2">
        <v>1199</v>
      </c>
      <c r="F251" s="1" t="s">
        <v>134</v>
      </c>
      <c r="G251" s="1" t="s">
        <v>1161</v>
      </c>
      <c r="H251" s="1" t="s">
        <v>135</v>
      </c>
      <c r="I251" s="1" t="s">
        <v>14</v>
      </c>
      <c r="J251" s="1" t="s">
        <v>594</v>
      </c>
      <c r="K251" s="1" t="s">
        <v>39</v>
      </c>
      <c r="L251" s="1" t="s">
        <v>19</v>
      </c>
      <c r="M251" s="1" t="s">
        <v>18</v>
      </c>
      <c r="N251" s="1" t="s">
        <v>19</v>
      </c>
      <c r="O251" s="1" t="s">
        <v>19</v>
      </c>
      <c r="P251" s="1" t="s">
        <v>20</v>
      </c>
    </row>
    <row r="252" spans="1:16" x14ac:dyDescent="0.35">
      <c r="A252" s="1">
        <v>50729206</v>
      </c>
      <c r="B252" s="1" t="str">
        <f>_xlfn.XLOOKUP(A252,Sheet1!A:A,Sheet1!D:D,"")</f>
        <v>CASTLE ROCK</v>
      </c>
      <c r="C252" s="1" t="s">
        <v>656</v>
      </c>
      <c r="D252" s="2">
        <f>_xlfn.XLOOKUP(A252,Sheet1!A:A,Sheet1!C:C,"")</f>
        <v>1397</v>
      </c>
      <c r="E252" s="2">
        <v>1599</v>
      </c>
      <c r="F252" s="1" t="s">
        <v>132</v>
      </c>
      <c r="G252" s="1" t="s">
        <v>1161</v>
      </c>
      <c r="H252" s="1" t="s">
        <v>138</v>
      </c>
      <c r="I252" s="1" t="s">
        <v>14</v>
      </c>
      <c r="J252" s="1" t="s">
        <v>594</v>
      </c>
      <c r="K252" s="1" t="s">
        <v>39</v>
      </c>
      <c r="L252" s="1" t="s">
        <v>17</v>
      </c>
      <c r="M252" s="1" t="s">
        <v>18</v>
      </c>
      <c r="N252" s="1" t="s">
        <v>17</v>
      </c>
      <c r="O252" s="1" t="s">
        <v>19</v>
      </c>
      <c r="P252" s="1" t="s">
        <v>20</v>
      </c>
    </row>
    <row r="253" spans="1:16" x14ac:dyDescent="0.35">
      <c r="A253" s="1">
        <v>50729218</v>
      </c>
      <c r="B253" s="1" t="str">
        <f>_xlfn.XLOOKUP(A253,Sheet1!A:A,Sheet1!D:D,"")</f>
        <v>PEBBLEBROOK</v>
      </c>
      <c r="C253" s="1" t="s">
        <v>657</v>
      </c>
      <c r="D253" s="2">
        <f>_xlfn.XLOOKUP(A253,Sheet1!A:A,Sheet1!C:C,"")</f>
        <v>1577</v>
      </c>
      <c r="E253" s="2">
        <v>1799</v>
      </c>
      <c r="F253" s="1" t="s">
        <v>140</v>
      </c>
      <c r="H253" s="1" t="s">
        <v>141</v>
      </c>
      <c r="I253" s="1" t="s">
        <v>14</v>
      </c>
      <c r="J253" s="1" t="s">
        <v>594</v>
      </c>
      <c r="K253" s="1" t="s">
        <v>39</v>
      </c>
      <c r="L253" s="1" t="s">
        <v>17</v>
      </c>
      <c r="M253" s="1" t="s">
        <v>18</v>
      </c>
      <c r="N253" s="1" t="s">
        <v>28</v>
      </c>
      <c r="O253" s="1" t="s">
        <v>17</v>
      </c>
      <c r="P253" s="1" t="s">
        <v>20</v>
      </c>
    </row>
    <row r="254" spans="1:16" x14ac:dyDescent="0.35">
      <c r="A254" s="1">
        <v>50737051</v>
      </c>
      <c r="B254" s="1" t="str">
        <f>_xlfn.XLOOKUP(A254,Sheet1!A:A,Sheet1!D:D,"")</f>
        <v>SERIES ONE EXTRA FIRM</v>
      </c>
      <c r="C254" s="1" t="s">
        <v>661</v>
      </c>
      <c r="D254" s="2">
        <f>_xlfn.XLOOKUP(A254,Sheet1!A:A,Sheet1!C:C,"")</f>
        <v>2599</v>
      </c>
      <c r="E254" s="2">
        <v>2599</v>
      </c>
      <c r="F254" s="1" t="s">
        <v>146</v>
      </c>
      <c r="H254" s="1" t="s">
        <v>147</v>
      </c>
      <c r="I254" s="1" t="s">
        <v>14</v>
      </c>
      <c r="J254" s="1" t="s">
        <v>594</v>
      </c>
      <c r="K254" s="1" t="s">
        <v>39</v>
      </c>
      <c r="L254" s="1" t="s">
        <v>17</v>
      </c>
      <c r="M254" s="1" t="s">
        <v>22</v>
      </c>
      <c r="N254" s="1" t="s">
        <v>32</v>
      </c>
      <c r="O254" s="1" t="s">
        <v>28</v>
      </c>
      <c r="P254" s="1" t="s">
        <v>98</v>
      </c>
    </row>
    <row r="255" spans="1:16" x14ac:dyDescent="0.35">
      <c r="A255" s="1">
        <v>50737138</v>
      </c>
      <c r="B255" s="1" t="str">
        <f>_xlfn.XLOOKUP(A255,Sheet1!A:A,Sheet1!D:D,"")</f>
        <v>SERIES TWO MEDIUM</v>
      </c>
      <c r="C255" s="1" t="s">
        <v>667</v>
      </c>
      <c r="D255" s="2">
        <f>_xlfn.XLOOKUP(A255,Sheet1!A:A,Sheet1!C:C,"")</f>
        <v>3599</v>
      </c>
      <c r="E255" s="2">
        <v>3599</v>
      </c>
      <c r="F255" s="1" t="s">
        <v>146</v>
      </c>
      <c r="H255" s="1" t="s">
        <v>395</v>
      </c>
      <c r="I255" s="1" t="s">
        <v>14</v>
      </c>
      <c r="J255" s="1" t="s">
        <v>594</v>
      </c>
      <c r="K255" s="1" t="s">
        <v>39</v>
      </c>
      <c r="L255" s="1" t="s">
        <v>28</v>
      </c>
      <c r="M255" s="1" t="s">
        <v>18</v>
      </c>
      <c r="N255" s="1" t="s">
        <v>32</v>
      </c>
      <c r="O255" s="1" t="s">
        <v>28</v>
      </c>
      <c r="P255" s="1" t="s">
        <v>20</v>
      </c>
    </row>
    <row r="256" spans="1:16" x14ac:dyDescent="0.35">
      <c r="A256" s="1">
        <v>50737227</v>
      </c>
      <c r="B256" s="1" t="str">
        <f>_xlfn.XLOOKUP(A256,Sheet1!A:A,Sheet1!D:D,"")</f>
        <v>SERIES THREE PLUSH PILLOW TOP</v>
      </c>
      <c r="C256" s="1" t="s">
        <v>676</v>
      </c>
      <c r="D256" s="2">
        <f>_xlfn.XLOOKUP(A256,Sheet1!A:A,Sheet1!C:C,"")</f>
        <v>4899</v>
      </c>
      <c r="E256" s="2">
        <v>4899</v>
      </c>
      <c r="F256" s="1" t="s">
        <v>146</v>
      </c>
      <c r="H256" s="1" t="s">
        <v>163</v>
      </c>
      <c r="I256" s="1" t="s">
        <v>14</v>
      </c>
      <c r="J256" s="1" t="s">
        <v>594</v>
      </c>
      <c r="K256" s="1" t="s">
        <v>39</v>
      </c>
      <c r="L256" s="1" t="s">
        <v>32</v>
      </c>
      <c r="M256" s="1" t="s">
        <v>31</v>
      </c>
      <c r="N256" s="1" t="s">
        <v>32</v>
      </c>
      <c r="O256" s="1" t="s">
        <v>28</v>
      </c>
      <c r="P256" s="1" t="s">
        <v>33</v>
      </c>
    </row>
    <row r="257" spans="1:16" x14ac:dyDescent="0.35">
      <c r="A257" s="1">
        <v>50748030</v>
      </c>
      <c r="B257" s="1" t="str">
        <f>_xlfn.XLOOKUP(A257,Sheet1!A:A,Sheet1!D:D,"")</f>
        <v>ESTATE FIRM TT</v>
      </c>
      <c r="C257" s="1" t="s">
        <v>692</v>
      </c>
      <c r="D257" s="2">
        <f>_xlfn.XLOOKUP(A257,Sheet1!A:A,Sheet1!C:C,"")</f>
        <v>2999</v>
      </c>
      <c r="E257" s="2">
        <v>2999</v>
      </c>
      <c r="F257" s="1" t="s">
        <v>178</v>
      </c>
      <c r="H257" s="1" t="s">
        <v>182</v>
      </c>
      <c r="I257" s="1" t="s">
        <v>14</v>
      </c>
      <c r="J257" s="1" t="s">
        <v>594</v>
      </c>
      <c r="K257" s="1" t="s">
        <v>39</v>
      </c>
      <c r="L257" s="1" t="s">
        <v>17</v>
      </c>
      <c r="M257" s="1" t="s">
        <v>22</v>
      </c>
      <c r="N257" s="1" t="s">
        <v>28</v>
      </c>
      <c r="O257" s="1" t="s">
        <v>17</v>
      </c>
      <c r="P257" s="1" t="s">
        <v>23</v>
      </c>
    </row>
    <row r="258" spans="1:16" x14ac:dyDescent="0.35">
      <c r="A258" s="1">
        <v>50748054</v>
      </c>
      <c r="B258" s="1" t="str">
        <f>_xlfn.XLOOKUP(A258,Sheet1!A:A,Sheet1!D:D,"")</f>
        <v>ESTATE FIRM PT</v>
      </c>
      <c r="C258" s="1" t="s">
        <v>694</v>
      </c>
      <c r="D258" s="2">
        <f>_xlfn.XLOOKUP(A258,Sheet1!A:A,Sheet1!C:C,"")</f>
        <v>3199</v>
      </c>
      <c r="E258" s="2">
        <v>3199</v>
      </c>
      <c r="F258" s="1" t="s">
        <v>178</v>
      </c>
      <c r="H258" s="1" t="s">
        <v>182</v>
      </c>
      <c r="I258" s="1" t="s">
        <v>14</v>
      </c>
      <c r="J258" s="1" t="s">
        <v>594</v>
      </c>
      <c r="K258" s="1" t="s">
        <v>39</v>
      </c>
      <c r="L258" s="1" t="s">
        <v>17</v>
      </c>
      <c r="M258" s="1" t="s">
        <v>22</v>
      </c>
      <c r="N258" s="1" t="s">
        <v>28</v>
      </c>
      <c r="O258" s="1" t="s">
        <v>17</v>
      </c>
      <c r="P258" s="1" t="s">
        <v>23</v>
      </c>
    </row>
    <row r="259" spans="1:16" x14ac:dyDescent="0.35">
      <c r="A259" s="1">
        <v>50748270</v>
      </c>
      <c r="B259" s="1" t="str">
        <f>_xlfn.XLOOKUP(A259,Sheet1!A:A,Sheet1!D:D,"")</f>
        <v>LUX ESTATE ELITE</v>
      </c>
      <c r="C259" s="1" t="s">
        <v>706</v>
      </c>
      <c r="D259" s="2">
        <f>_xlfn.XLOOKUP(A259,Sheet1!A:A,Sheet1!C:C,"")</f>
        <v>4799</v>
      </c>
      <c r="E259" s="2">
        <v>4799</v>
      </c>
      <c r="F259" s="1" t="s">
        <v>178</v>
      </c>
      <c r="H259" s="1" t="s">
        <v>568</v>
      </c>
      <c r="I259" s="1" t="s">
        <v>14</v>
      </c>
      <c r="J259" s="1" t="s">
        <v>594</v>
      </c>
      <c r="K259" s="1" t="s">
        <v>39</v>
      </c>
      <c r="L259" s="1" t="s">
        <v>28</v>
      </c>
      <c r="M259" s="1" t="s">
        <v>18</v>
      </c>
      <c r="N259" s="1" t="s">
        <v>32</v>
      </c>
      <c r="O259" s="1" t="s">
        <v>28</v>
      </c>
      <c r="P259" s="1" t="s">
        <v>20</v>
      </c>
    </row>
    <row r="260" spans="1:16" x14ac:dyDescent="0.35">
      <c r="A260" s="1">
        <v>50770114</v>
      </c>
      <c r="B260" s="1" t="str">
        <f>_xlfn.XLOOKUP(A260,Sheet1!A:A,Sheet1!D:D,"")</f>
        <v>HELIX MIDNIGHT LUXE</v>
      </c>
      <c r="C260" s="1" t="s">
        <v>709</v>
      </c>
      <c r="D260" s="2">
        <f>_xlfn.XLOOKUP(A260,Sheet1!A:A,Sheet1!C:C,"")</f>
        <v>2538</v>
      </c>
      <c r="E260" s="2">
        <v>3172.5</v>
      </c>
      <c r="F260" s="1" t="s">
        <v>201</v>
      </c>
      <c r="I260" s="1" t="s">
        <v>14</v>
      </c>
      <c r="J260" s="1" t="s">
        <v>594</v>
      </c>
      <c r="K260" s="1" t="s">
        <v>39</v>
      </c>
      <c r="L260" s="1" t="s">
        <v>28</v>
      </c>
      <c r="M260" s="1" t="s">
        <v>18</v>
      </c>
      <c r="N260" s="1" t="s">
        <v>28</v>
      </c>
      <c r="O260" s="1" t="s">
        <v>17</v>
      </c>
      <c r="P260" s="1" t="s">
        <v>20</v>
      </c>
    </row>
    <row r="261" spans="1:16" x14ac:dyDescent="0.35">
      <c r="A261" s="1">
        <v>50770126</v>
      </c>
      <c r="B261" s="1" t="str">
        <f>_xlfn.XLOOKUP(A261,Sheet1!A:A,Sheet1!D:D,"")</f>
        <v>HELIX MIDNIGHT ELITE</v>
      </c>
      <c r="C261" s="1" t="s">
        <v>710</v>
      </c>
      <c r="D261" s="2">
        <f>_xlfn.XLOOKUP(A261,Sheet1!A:A,Sheet1!C:C,"")</f>
        <v>3599</v>
      </c>
      <c r="E261" s="2">
        <v>4498.75</v>
      </c>
      <c r="F261" s="1" t="s">
        <v>201</v>
      </c>
      <c r="I261" s="1" t="s">
        <v>14</v>
      </c>
      <c r="J261" s="1" t="s">
        <v>594</v>
      </c>
      <c r="K261" s="1" t="s">
        <v>39</v>
      </c>
      <c r="L261" s="1" t="s">
        <v>32</v>
      </c>
      <c r="M261" s="1" t="s">
        <v>18</v>
      </c>
      <c r="N261" s="1" t="s">
        <v>28</v>
      </c>
      <c r="O261" s="1" t="s">
        <v>28</v>
      </c>
      <c r="P261" s="1" t="s">
        <v>20</v>
      </c>
    </row>
    <row r="262" spans="1:16" x14ac:dyDescent="0.35">
      <c r="A262" s="1">
        <v>50800486</v>
      </c>
      <c r="B262" s="1" t="str">
        <f>_xlfn.XLOOKUP(A262,Sheet1!A:A,Sheet1!D:D,"")</f>
        <v>BASELOGIC SILVER</v>
      </c>
      <c r="C262" s="1" t="s">
        <v>711</v>
      </c>
      <c r="D262" s="2">
        <f>_xlfn.XLOOKUP(A262,Sheet1!A:A,Sheet1!C:C,"")</f>
        <v>649</v>
      </c>
      <c r="E262" s="2">
        <v>749</v>
      </c>
      <c r="F262" s="1" t="s">
        <v>433</v>
      </c>
      <c r="H262" s="1" t="s">
        <v>434</v>
      </c>
      <c r="I262" s="1" t="s">
        <v>14</v>
      </c>
      <c r="J262" s="1" t="s">
        <v>15</v>
      </c>
    </row>
    <row r="263" spans="1:16" x14ac:dyDescent="0.35">
      <c r="A263" s="1">
        <v>50800513</v>
      </c>
      <c r="B263" s="1" t="str">
        <f>_xlfn.XLOOKUP(A263,Sheet1!A:A,Sheet1!D:D,"")</f>
        <v>BASELOGIC PLATINUM</v>
      </c>
      <c r="C263" s="1" t="s">
        <v>712</v>
      </c>
      <c r="D263" s="2">
        <f>_xlfn.XLOOKUP(A263,Sheet1!A:A,Sheet1!C:C,"")</f>
        <v>1399</v>
      </c>
      <c r="E263" s="2">
        <v>1599</v>
      </c>
      <c r="F263" s="1" t="s">
        <v>433</v>
      </c>
      <c r="H263" s="1" t="s">
        <v>436</v>
      </c>
      <c r="I263" s="1" t="s">
        <v>14</v>
      </c>
      <c r="J263" s="1" t="s">
        <v>15</v>
      </c>
    </row>
    <row r="264" spans="1:16" x14ac:dyDescent="0.35">
      <c r="A264" s="1">
        <v>50808165</v>
      </c>
      <c r="B264" s="1" t="str">
        <f>_xlfn.XLOOKUP(A264,Sheet1!A:A,Sheet1!D:D,"")</f>
        <v>TEMPUR-ERGO 3.0</v>
      </c>
      <c r="C264" s="1" t="s">
        <v>715</v>
      </c>
      <c r="D264" s="2">
        <f>_xlfn.XLOOKUP(A264,Sheet1!A:A,Sheet1!C:C,"")</f>
        <v>1599</v>
      </c>
      <c r="E264" s="2">
        <v>1599</v>
      </c>
      <c r="F264" s="1" t="s">
        <v>46</v>
      </c>
      <c r="H264" s="1" t="s">
        <v>439</v>
      </c>
      <c r="I264" s="1" t="s">
        <v>14</v>
      </c>
      <c r="J264" s="1" t="s">
        <v>15</v>
      </c>
    </row>
    <row r="265" spans="1:16" x14ac:dyDescent="0.35">
      <c r="A265" s="1">
        <v>50808189</v>
      </c>
      <c r="B265" s="1" t="str">
        <f>_xlfn.XLOOKUP(A265,Sheet1!A:A,Sheet1!D:D,"")</f>
        <v>TEMPUR-ERGO 3.0 SMART</v>
      </c>
      <c r="C265" s="1" t="s">
        <v>716</v>
      </c>
      <c r="D265" s="2">
        <f>_xlfn.XLOOKUP(A265,Sheet1!A:A,Sheet1!C:C,"")</f>
        <v>2099</v>
      </c>
      <c r="E265" s="2">
        <v>2099</v>
      </c>
      <c r="F265" s="1" t="s">
        <v>46</v>
      </c>
      <c r="H265" s="1" t="s">
        <v>441</v>
      </c>
      <c r="I265" s="1" t="s">
        <v>14</v>
      </c>
      <c r="J265" s="1" t="s">
        <v>15</v>
      </c>
    </row>
    <row r="266" spans="1:16" x14ac:dyDescent="0.35">
      <c r="A266" s="1">
        <v>50808191</v>
      </c>
      <c r="B266" s="1" t="str">
        <f>_xlfn.XLOOKUP(A266,Sheet1!A:A,Sheet1!D:D,"")</f>
        <v>TEMPUR-ERGO PROSMART</v>
      </c>
      <c r="C266" s="1" t="s">
        <v>717</v>
      </c>
      <c r="D266" s="2">
        <f>_xlfn.XLOOKUP(A266,Sheet1!A:A,Sheet1!C:C,"")</f>
        <v>2599</v>
      </c>
      <c r="E266" s="2">
        <v>2599</v>
      </c>
      <c r="F266" s="1" t="s">
        <v>46</v>
      </c>
      <c r="H266" s="1" t="s">
        <v>579</v>
      </c>
      <c r="I266" s="1" t="s">
        <v>14</v>
      </c>
      <c r="J266" s="1" t="s">
        <v>15</v>
      </c>
    </row>
    <row r="267" spans="1:16" x14ac:dyDescent="0.35">
      <c r="A267" s="1">
        <v>50808836</v>
      </c>
      <c r="B267" s="1" t="str">
        <f>_xlfn.XLOOKUP(A267,Sheet1!A:A,Sheet1!D:D,"")</f>
        <v>RTG-SLEEP 2900</v>
      </c>
      <c r="C267" s="1" t="s">
        <v>719</v>
      </c>
      <c r="D267" s="2">
        <f>_xlfn.XLOOKUP(A267,Sheet1!A:A,Sheet1!C:C,"")</f>
        <v>499</v>
      </c>
      <c r="E267" s="2">
        <v>499</v>
      </c>
      <c r="F267" s="1" t="s">
        <v>582</v>
      </c>
      <c r="G267" s="1" t="s">
        <v>1161</v>
      </c>
      <c r="H267" s="1" t="s">
        <v>720</v>
      </c>
      <c r="I267" s="1" t="s">
        <v>14</v>
      </c>
      <c r="J267" s="1" t="s">
        <v>15</v>
      </c>
    </row>
    <row r="268" spans="1:16" x14ac:dyDescent="0.35">
      <c r="A268" s="1">
        <v>50808898</v>
      </c>
      <c r="B268" s="1" t="str">
        <f>_xlfn.XLOOKUP(A268,Sheet1!A:A,Sheet1!D:D,"")</f>
        <v>RTG-SLEEP 3900</v>
      </c>
      <c r="C268" s="1" t="s">
        <v>721</v>
      </c>
      <c r="D268" s="2">
        <f>_xlfn.XLOOKUP(A268,Sheet1!A:A,Sheet1!C:C,"")</f>
        <v>749</v>
      </c>
      <c r="E268" s="2">
        <v>949</v>
      </c>
      <c r="F268" s="1" t="s">
        <v>582</v>
      </c>
      <c r="G268" s="1" t="s">
        <v>1161</v>
      </c>
      <c r="I268" s="1" t="s">
        <v>14</v>
      </c>
      <c r="J268" s="1" t="s">
        <v>15</v>
      </c>
    </row>
    <row r="269" spans="1:16" x14ac:dyDescent="0.35">
      <c r="A269" s="1">
        <v>50808951</v>
      </c>
      <c r="B269" s="1" t="str">
        <f>_xlfn.XLOOKUP(A269,Sheet1!A:A,Sheet1!D:D,"")</f>
        <v>RTG-SLEEP 5900</v>
      </c>
      <c r="C269" s="1" t="s">
        <v>722</v>
      </c>
      <c r="D269" s="2">
        <f>_xlfn.XLOOKUP(A269,Sheet1!A:A,Sheet1!C:C,"")</f>
        <v>1499</v>
      </c>
      <c r="E269" s="2">
        <v>1699</v>
      </c>
      <c r="F269" s="1" t="s">
        <v>586</v>
      </c>
      <c r="G269" s="1" t="s">
        <v>1161</v>
      </c>
      <c r="J269" s="1" t="s">
        <v>15</v>
      </c>
    </row>
    <row r="270" spans="1:16" x14ac:dyDescent="0.35">
      <c r="A270" s="1">
        <v>50818609</v>
      </c>
      <c r="B270" s="1" t="str">
        <f>_xlfn.XLOOKUP(A270,Sheet1!A:A,Sheet1!D:D,"")</f>
        <v>EASE 4.0</v>
      </c>
      <c r="C270" s="1" t="s">
        <v>723</v>
      </c>
      <c r="D270" s="2">
        <f>_xlfn.XLOOKUP(A270,Sheet1!A:A,Sheet1!C:C,"")</f>
        <v>899</v>
      </c>
      <c r="E270" s="2">
        <v>899</v>
      </c>
      <c r="H270" s="1" t="s">
        <v>310</v>
      </c>
      <c r="I270" s="1" t="s">
        <v>14</v>
      </c>
      <c r="J270" s="1" t="s">
        <v>15</v>
      </c>
    </row>
    <row r="271" spans="1:16" x14ac:dyDescent="0.35">
      <c r="A271" s="1">
        <v>51000481</v>
      </c>
      <c r="B271" s="1" t="str">
        <f>_xlfn.XLOOKUP(A271,Sheet1!A:A,Sheet1!D:D,"")</f>
        <v>BASELOGIC SILVER</v>
      </c>
      <c r="C271" s="1" t="s">
        <v>735</v>
      </c>
      <c r="D271" s="2">
        <f>_xlfn.XLOOKUP(A271,Sheet1!A:A,Sheet1!C:C,"")</f>
        <v>1199</v>
      </c>
      <c r="E271" s="2">
        <v>1299</v>
      </c>
      <c r="F271" s="1" t="s">
        <v>433</v>
      </c>
      <c r="H271" s="1" t="s">
        <v>434</v>
      </c>
      <c r="I271" s="1" t="s">
        <v>14</v>
      </c>
      <c r="J271" s="1" t="s">
        <v>594</v>
      </c>
    </row>
    <row r="272" spans="1:16" x14ac:dyDescent="0.35">
      <c r="A272" s="1">
        <v>51000518</v>
      </c>
      <c r="B272" s="1" t="str">
        <f>_xlfn.XLOOKUP(A272,Sheet1!A:A,Sheet1!D:D,"")</f>
        <v>BASELOGIC PLATINUM</v>
      </c>
      <c r="C272" s="1" t="s">
        <v>736</v>
      </c>
      <c r="D272" s="2">
        <f>_xlfn.XLOOKUP(A272,Sheet1!A:A,Sheet1!C:C,"")</f>
        <v>1899</v>
      </c>
      <c r="E272" s="2">
        <v>2099</v>
      </c>
      <c r="F272" s="1" t="s">
        <v>433</v>
      </c>
      <c r="H272" s="1" t="s">
        <v>436</v>
      </c>
      <c r="I272" s="1" t="s">
        <v>14</v>
      </c>
      <c r="J272" s="1" t="s">
        <v>594</v>
      </c>
    </row>
    <row r="273" spans="1:10" x14ac:dyDescent="0.35">
      <c r="A273" s="1">
        <v>51008160</v>
      </c>
      <c r="B273" s="1" t="str">
        <f>_xlfn.XLOOKUP(A273,Sheet1!A:A,Sheet1!D:D,"")</f>
        <v>TEMPUR-ERGO 3.0</v>
      </c>
      <c r="C273" s="1" t="s">
        <v>738</v>
      </c>
      <c r="D273" s="2">
        <f>_xlfn.XLOOKUP(A273,Sheet1!A:A,Sheet1!C:C,"")</f>
        <v>2399</v>
      </c>
      <c r="E273" s="2">
        <v>2399</v>
      </c>
      <c r="F273" s="1" t="s">
        <v>46</v>
      </c>
      <c r="H273" s="1" t="s">
        <v>439</v>
      </c>
      <c r="I273" s="1" t="s">
        <v>14</v>
      </c>
      <c r="J273" s="1" t="s">
        <v>594</v>
      </c>
    </row>
    <row r="274" spans="1:10" x14ac:dyDescent="0.35">
      <c r="A274" s="1">
        <v>51008184</v>
      </c>
      <c r="B274" s="1" t="str">
        <f>_xlfn.XLOOKUP(A274,Sheet1!A:A,Sheet1!D:D,"")</f>
        <v>TEMPUR-ERGO 3.0 SMART</v>
      </c>
      <c r="C274" s="1" t="s">
        <v>739</v>
      </c>
      <c r="D274" s="2">
        <f>_xlfn.XLOOKUP(A274,Sheet1!A:A,Sheet1!C:C,"")</f>
        <v>2899</v>
      </c>
      <c r="E274" s="2">
        <v>2899</v>
      </c>
      <c r="F274" s="1" t="s">
        <v>46</v>
      </c>
      <c r="H274" s="1" t="s">
        <v>441</v>
      </c>
      <c r="I274" s="1" t="s">
        <v>14</v>
      </c>
      <c r="J274" s="1" t="s">
        <v>594</v>
      </c>
    </row>
    <row r="275" spans="1:10" x14ac:dyDescent="0.35">
      <c r="A275" s="1">
        <v>51008196</v>
      </c>
      <c r="B275" s="1" t="str">
        <f>_xlfn.XLOOKUP(A275,Sheet1!A:A,Sheet1!D:D,"")</f>
        <v>TEMPUR-ERGO PROSMART</v>
      </c>
      <c r="C275" s="1" t="s">
        <v>740</v>
      </c>
      <c r="D275" s="2">
        <f>_xlfn.XLOOKUP(A275,Sheet1!A:A,Sheet1!C:C,"")</f>
        <v>3399</v>
      </c>
      <c r="E275" s="2">
        <v>3399</v>
      </c>
      <c r="F275" s="1" t="s">
        <v>46</v>
      </c>
      <c r="H275" s="1" t="s">
        <v>579</v>
      </c>
      <c r="I275" s="1" t="s">
        <v>14</v>
      </c>
      <c r="J275" s="1" t="s">
        <v>594</v>
      </c>
    </row>
    <row r="276" spans="1:10" x14ac:dyDescent="0.35">
      <c r="A276" s="1">
        <v>51008831</v>
      </c>
      <c r="B276" s="1" t="str">
        <f>_xlfn.XLOOKUP(A276,Sheet1!A:A,Sheet1!D:D,"")</f>
        <v>RTG-SLEEP 2900</v>
      </c>
      <c r="C276" s="1" t="s">
        <v>741</v>
      </c>
      <c r="D276" s="2">
        <f>_xlfn.XLOOKUP(A276,Sheet1!A:A,Sheet1!C:C,"")</f>
        <v>799</v>
      </c>
      <c r="E276" s="2">
        <v>799</v>
      </c>
      <c r="F276" s="1" t="s">
        <v>582</v>
      </c>
      <c r="G276" s="1" t="s">
        <v>1161</v>
      </c>
      <c r="H276" s="1" t="s">
        <v>720</v>
      </c>
      <c r="I276" s="1" t="s">
        <v>14</v>
      </c>
      <c r="J276" s="1" t="s">
        <v>594</v>
      </c>
    </row>
    <row r="277" spans="1:10" x14ac:dyDescent="0.35">
      <c r="A277" s="1">
        <v>51008893</v>
      </c>
      <c r="B277" s="1" t="str">
        <f>_xlfn.XLOOKUP(A277,Sheet1!A:A,Sheet1!D:D,"")</f>
        <v>RTG-SLEEP 3900</v>
      </c>
      <c r="C277" s="1" t="s">
        <v>742</v>
      </c>
      <c r="D277" s="2">
        <f>_xlfn.XLOOKUP(A277,Sheet1!A:A,Sheet1!C:C,"")</f>
        <v>1299</v>
      </c>
      <c r="E277" s="2">
        <v>1499</v>
      </c>
      <c r="F277" s="1" t="s">
        <v>582</v>
      </c>
      <c r="G277" s="1" t="s">
        <v>1161</v>
      </c>
      <c r="I277" s="1" t="s">
        <v>14</v>
      </c>
      <c r="J277" s="1" t="s">
        <v>594</v>
      </c>
    </row>
    <row r="278" spans="1:10" x14ac:dyDescent="0.35">
      <c r="A278" s="1">
        <v>51008956</v>
      </c>
      <c r="B278" s="1" t="str">
        <f>_xlfn.XLOOKUP(A278,Sheet1!A:A,Sheet1!D:D,"")</f>
        <v>RTG-SLEEP 5900</v>
      </c>
      <c r="C278" s="1" t="s">
        <v>743</v>
      </c>
      <c r="D278" s="2">
        <f>_xlfn.XLOOKUP(A278,Sheet1!A:A,Sheet1!C:C,"")</f>
        <v>2099</v>
      </c>
      <c r="E278" s="2">
        <v>2299</v>
      </c>
      <c r="F278" s="1" t="s">
        <v>586</v>
      </c>
      <c r="G278" s="1" t="s">
        <v>1161</v>
      </c>
      <c r="J278" s="1" t="s">
        <v>594</v>
      </c>
    </row>
    <row r="279" spans="1:10" x14ac:dyDescent="0.35">
      <c r="A279" s="1">
        <v>51010216</v>
      </c>
      <c r="B279" s="1" t="str">
        <f>_xlfn.XLOOKUP(A279,Sheet1!A:A,Sheet1!D:D,"")</f>
        <v>IPROTECT PROTECTOR</v>
      </c>
      <c r="C279" s="1" t="s">
        <v>744</v>
      </c>
      <c r="D279" s="2">
        <f>_xlfn.XLOOKUP(A279,Sheet1!A:A,Sheet1!C:C,"")</f>
        <v>59.99</v>
      </c>
      <c r="E279" s="2">
        <v>59.99</v>
      </c>
      <c r="F279" s="1" t="s">
        <v>43</v>
      </c>
      <c r="H279" s="1" t="s">
        <v>745</v>
      </c>
      <c r="I279" s="1" t="s">
        <v>14</v>
      </c>
      <c r="J279" s="1" t="s">
        <v>15</v>
      </c>
    </row>
    <row r="280" spans="1:10" x14ac:dyDescent="0.35">
      <c r="A280" s="1">
        <v>51010228</v>
      </c>
      <c r="B280" s="1" t="str">
        <f>_xlfn.XLOOKUP(A280,Sheet1!A:A,Sheet1!D:D,"")</f>
        <v>IPROTECT PROTECTOR</v>
      </c>
      <c r="C280" s="1" t="s">
        <v>746</v>
      </c>
      <c r="D280" s="2">
        <f>_xlfn.XLOOKUP(A280,Sheet1!A:A,Sheet1!C:C,"")</f>
        <v>49.99</v>
      </c>
      <c r="E280" s="2">
        <v>49.99</v>
      </c>
      <c r="F280" s="1" t="s">
        <v>43</v>
      </c>
      <c r="H280" s="1" t="s">
        <v>745</v>
      </c>
      <c r="I280" s="1" t="s">
        <v>14</v>
      </c>
      <c r="J280" s="1" t="s">
        <v>74</v>
      </c>
    </row>
    <row r="281" spans="1:10" x14ac:dyDescent="0.35">
      <c r="A281" s="1">
        <v>51010230</v>
      </c>
      <c r="B281" s="1" t="str">
        <f>_xlfn.XLOOKUP(A281,Sheet1!A:A,Sheet1!D:D,"")</f>
        <v>IPROTECT PROTECTOR</v>
      </c>
      <c r="C281" s="1" t="s">
        <v>747</v>
      </c>
      <c r="D281" s="2">
        <f>_xlfn.XLOOKUP(A281,Sheet1!A:A,Sheet1!C:C,"")</f>
        <v>69.989999999999995</v>
      </c>
      <c r="E281" s="2">
        <v>69.989999999999995</v>
      </c>
      <c r="F281" s="1" t="s">
        <v>43</v>
      </c>
      <c r="H281" s="1" t="s">
        <v>745</v>
      </c>
      <c r="I281" s="1" t="s">
        <v>14</v>
      </c>
      <c r="J281" s="1" t="s">
        <v>317</v>
      </c>
    </row>
    <row r="282" spans="1:10" x14ac:dyDescent="0.35">
      <c r="A282" s="1">
        <v>51010242</v>
      </c>
      <c r="B282" s="1" t="str">
        <f>_xlfn.XLOOKUP(A282,Sheet1!A:A,Sheet1!D:D,"")</f>
        <v>IPROTECT PROTECTOR</v>
      </c>
      <c r="C282" s="1" t="s">
        <v>748</v>
      </c>
      <c r="D282" s="2">
        <f>_xlfn.XLOOKUP(A282,Sheet1!A:A,Sheet1!C:C,"")</f>
        <v>79.989999999999995</v>
      </c>
      <c r="E282" s="2">
        <v>79.989999999999995</v>
      </c>
      <c r="F282" s="1" t="s">
        <v>43</v>
      </c>
      <c r="H282" s="1" t="s">
        <v>745</v>
      </c>
      <c r="I282" s="1" t="s">
        <v>14</v>
      </c>
      <c r="J282" s="1" t="s">
        <v>451</v>
      </c>
    </row>
    <row r="283" spans="1:10" x14ac:dyDescent="0.35">
      <c r="A283" s="1">
        <v>51010254</v>
      </c>
      <c r="B283" s="1" t="str">
        <f>_xlfn.XLOOKUP(A283,Sheet1!A:A,Sheet1!D:D,"")</f>
        <v>IPROTECT PROTECTOR</v>
      </c>
      <c r="C283" s="1" t="s">
        <v>749</v>
      </c>
      <c r="D283" s="2">
        <f>_xlfn.XLOOKUP(A283,Sheet1!A:A,Sheet1!C:C,"")</f>
        <v>89.99</v>
      </c>
      <c r="E283" s="2">
        <v>89.99</v>
      </c>
      <c r="F283" s="1" t="s">
        <v>43</v>
      </c>
      <c r="H283" s="1" t="s">
        <v>745</v>
      </c>
      <c r="I283" s="1" t="s">
        <v>14</v>
      </c>
      <c r="J283" s="1" t="s">
        <v>594</v>
      </c>
    </row>
    <row r="284" spans="1:10" x14ac:dyDescent="0.35">
      <c r="A284" s="1">
        <v>51010266</v>
      </c>
      <c r="B284" s="1" t="str">
        <f>_xlfn.XLOOKUP(A284,Sheet1!A:A,Sheet1!D:D,"")</f>
        <v>IPROTECT PROTECTOR</v>
      </c>
      <c r="C284" s="1" t="s">
        <v>750</v>
      </c>
      <c r="D284" s="2">
        <f>_xlfn.XLOOKUP(A284,Sheet1!A:A,Sheet1!C:C,"")</f>
        <v>89.99</v>
      </c>
      <c r="E284" s="2">
        <v>89.99</v>
      </c>
      <c r="F284" s="1" t="s">
        <v>43</v>
      </c>
      <c r="H284" s="1" t="s">
        <v>745</v>
      </c>
      <c r="I284" s="1" t="s">
        <v>14</v>
      </c>
      <c r="J284" s="1" t="s">
        <v>751</v>
      </c>
    </row>
    <row r="285" spans="1:10" x14ac:dyDescent="0.35">
      <c r="A285" s="1">
        <v>51010393</v>
      </c>
      <c r="B285" s="1" t="str">
        <f>_xlfn.XLOOKUP(A285,Sheet1!A:A,Sheet1!D:D,"")</f>
        <v>IPROTECT CRIB PROTECTOR</v>
      </c>
      <c r="C285" s="1" t="s">
        <v>752</v>
      </c>
      <c r="D285" s="2">
        <f>_xlfn.XLOOKUP(A285,Sheet1!A:A,Sheet1!C:C,"")</f>
        <v>19.989999999999998</v>
      </c>
      <c r="E285" s="2">
        <v>19.989999999999998</v>
      </c>
      <c r="F285" s="1" t="s">
        <v>43</v>
      </c>
      <c r="H285" s="1" t="s">
        <v>753</v>
      </c>
      <c r="I285" s="1" t="s">
        <v>41</v>
      </c>
    </row>
    <row r="286" spans="1:10" x14ac:dyDescent="0.35">
      <c r="A286" s="1">
        <v>51010406</v>
      </c>
      <c r="B286" s="1" t="str">
        <f>_xlfn.XLOOKUP(A286,Sheet1!A:A,Sheet1!D:D,"")</f>
        <v>DRI-TEC CRIB PROTECTOR</v>
      </c>
      <c r="C286" s="1" t="s">
        <v>754</v>
      </c>
      <c r="D286" s="2">
        <f>_xlfn.XLOOKUP(A286,Sheet1!A:A,Sheet1!C:C,"")</f>
        <v>29.99</v>
      </c>
      <c r="E286" s="2">
        <v>29.99</v>
      </c>
      <c r="F286" s="1" t="s">
        <v>43</v>
      </c>
      <c r="H286" s="1" t="s">
        <v>755</v>
      </c>
      <c r="I286" s="1" t="s">
        <v>41</v>
      </c>
      <c r="J286" s="1" t="s">
        <v>205</v>
      </c>
    </row>
    <row r="287" spans="1:10" x14ac:dyDescent="0.35">
      <c r="A287" s="1">
        <v>51010418</v>
      </c>
      <c r="B287" s="1" t="str">
        <f>_xlfn.XLOOKUP(A287,Sheet1!A:A,Sheet1!D:D,"")</f>
        <v>VER-TEX CRIB PROTECTOR</v>
      </c>
      <c r="C287" s="1" t="s">
        <v>756</v>
      </c>
      <c r="D287" s="2">
        <f>_xlfn.XLOOKUP(A287,Sheet1!A:A,Sheet1!C:C,"")</f>
        <v>39.99</v>
      </c>
      <c r="E287" s="2">
        <v>39.99</v>
      </c>
      <c r="F287" s="1" t="s">
        <v>43</v>
      </c>
      <c r="H287" s="1" t="s">
        <v>757</v>
      </c>
      <c r="I287" s="1" t="s">
        <v>41</v>
      </c>
      <c r="J287" s="1" t="s">
        <v>205</v>
      </c>
    </row>
    <row r="288" spans="1:10" x14ac:dyDescent="0.35">
      <c r="A288" s="1">
        <v>51010507</v>
      </c>
      <c r="B288" s="1" t="str">
        <f>_xlfn.XLOOKUP(A288,Sheet1!A:A,Sheet1!D:D,"")</f>
        <v>DRI-TEC PROTECTOR</v>
      </c>
      <c r="C288" s="1" t="s">
        <v>758</v>
      </c>
      <c r="D288" s="2">
        <f>_xlfn.XLOOKUP(A288,Sheet1!A:A,Sheet1!C:C,"")</f>
        <v>109.99</v>
      </c>
      <c r="E288" s="2">
        <v>109.99</v>
      </c>
      <c r="F288" s="1" t="s">
        <v>43</v>
      </c>
      <c r="H288" s="1" t="s">
        <v>759</v>
      </c>
      <c r="I288" s="1" t="s">
        <v>14</v>
      </c>
      <c r="J288" s="1" t="s">
        <v>74</v>
      </c>
    </row>
    <row r="289" spans="1:10" x14ac:dyDescent="0.35">
      <c r="A289" s="1">
        <v>51010519</v>
      </c>
      <c r="B289" s="1" t="str">
        <f>_xlfn.XLOOKUP(A289,Sheet1!A:A,Sheet1!D:D,"")</f>
        <v>DRI-TEC PROTECTOR</v>
      </c>
      <c r="C289" s="1" t="s">
        <v>760</v>
      </c>
      <c r="D289" s="2">
        <f>_xlfn.XLOOKUP(A289,Sheet1!A:A,Sheet1!C:C,"")</f>
        <v>119.99</v>
      </c>
      <c r="E289" s="2">
        <v>119.99</v>
      </c>
      <c r="F289" s="1" t="s">
        <v>43</v>
      </c>
      <c r="H289" s="1" t="s">
        <v>759</v>
      </c>
      <c r="I289" s="1" t="s">
        <v>14</v>
      </c>
      <c r="J289" s="1" t="s">
        <v>15</v>
      </c>
    </row>
    <row r="290" spans="1:10" x14ac:dyDescent="0.35">
      <c r="A290" s="1">
        <v>51010521</v>
      </c>
      <c r="B290" s="1" t="str">
        <f>_xlfn.XLOOKUP(A290,Sheet1!A:A,Sheet1!D:D,"")</f>
        <v>DRI-TEC PROTECTOR</v>
      </c>
      <c r="C290" s="1" t="s">
        <v>761</v>
      </c>
      <c r="D290" s="2">
        <f>_xlfn.XLOOKUP(A290,Sheet1!A:A,Sheet1!C:C,"")</f>
        <v>119.99</v>
      </c>
      <c r="E290" s="2">
        <v>119.99</v>
      </c>
      <c r="F290" s="1" t="s">
        <v>43</v>
      </c>
      <c r="H290" s="1" t="s">
        <v>759</v>
      </c>
      <c r="I290" s="1" t="s">
        <v>14</v>
      </c>
      <c r="J290" s="1" t="s">
        <v>317</v>
      </c>
    </row>
    <row r="291" spans="1:10" x14ac:dyDescent="0.35">
      <c r="A291" s="1">
        <v>51010533</v>
      </c>
      <c r="B291" s="1" t="str">
        <f>_xlfn.XLOOKUP(A291,Sheet1!A:A,Sheet1!D:D,"")</f>
        <v>DRI-TEC PROTECTOR</v>
      </c>
      <c r="C291" s="1" t="s">
        <v>762</v>
      </c>
      <c r="D291" s="2">
        <f>_xlfn.XLOOKUP(A291,Sheet1!A:A,Sheet1!C:C,"")</f>
        <v>159.99</v>
      </c>
      <c r="E291" s="2">
        <v>159.99</v>
      </c>
      <c r="F291" s="1" t="s">
        <v>43</v>
      </c>
      <c r="H291" s="1" t="s">
        <v>763</v>
      </c>
      <c r="I291" s="1" t="s">
        <v>14</v>
      </c>
      <c r="J291" s="1" t="s">
        <v>451</v>
      </c>
    </row>
    <row r="292" spans="1:10" x14ac:dyDescent="0.35">
      <c r="A292" s="1">
        <v>51010545</v>
      </c>
      <c r="B292" s="1" t="str">
        <f>_xlfn.XLOOKUP(A292,Sheet1!A:A,Sheet1!D:D,"")</f>
        <v>DRI-TEC PROTECTOR</v>
      </c>
      <c r="C292" s="1" t="s">
        <v>764</v>
      </c>
      <c r="D292" s="2">
        <f>_xlfn.XLOOKUP(A292,Sheet1!A:A,Sheet1!C:C,"")</f>
        <v>189.99</v>
      </c>
      <c r="E292" s="2">
        <v>189.99</v>
      </c>
      <c r="F292" s="1" t="s">
        <v>43</v>
      </c>
      <c r="H292" s="1" t="s">
        <v>763</v>
      </c>
      <c r="I292" s="1" t="s">
        <v>14</v>
      </c>
      <c r="J292" s="1" t="s">
        <v>594</v>
      </c>
    </row>
    <row r="293" spans="1:10" x14ac:dyDescent="0.35">
      <c r="A293" s="1">
        <v>51010557</v>
      </c>
      <c r="B293" s="1" t="str">
        <f>_xlfn.XLOOKUP(A293,Sheet1!A:A,Sheet1!D:D,"")</f>
        <v>DRI-TEC PROTECTOR</v>
      </c>
      <c r="C293" s="1" t="s">
        <v>765</v>
      </c>
      <c r="D293" s="2">
        <f>_xlfn.XLOOKUP(A293,Sheet1!A:A,Sheet1!C:C,"")</f>
        <v>189.99</v>
      </c>
      <c r="E293" s="2">
        <v>189.99</v>
      </c>
      <c r="F293" s="1" t="s">
        <v>43</v>
      </c>
      <c r="H293" s="1" t="s">
        <v>759</v>
      </c>
      <c r="I293" s="1" t="s">
        <v>14</v>
      </c>
      <c r="J293" s="1" t="s">
        <v>751</v>
      </c>
    </row>
    <row r="294" spans="1:10" x14ac:dyDescent="0.35">
      <c r="A294" s="1">
        <v>51010569</v>
      </c>
      <c r="B294" s="1" t="str">
        <f>_xlfn.XLOOKUP(A294,Sheet1!A:A,Sheet1!D:D,"")</f>
        <v>DRI-TEC PROTECTOR</v>
      </c>
      <c r="C294" s="1" t="s">
        <v>766</v>
      </c>
      <c r="D294" s="2">
        <f>_xlfn.XLOOKUP(A294,Sheet1!A:A,Sheet1!C:C,"")</f>
        <v>209.99</v>
      </c>
      <c r="E294" s="2">
        <v>209.99</v>
      </c>
      <c r="F294" s="1" t="s">
        <v>43</v>
      </c>
      <c r="H294" s="1" t="s">
        <v>759</v>
      </c>
      <c r="I294" s="1" t="s">
        <v>14</v>
      </c>
      <c r="J294" s="1" t="s">
        <v>15</v>
      </c>
    </row>
    <row r="295" spans="1:10" x14ac:dyDescent="0.35">
      <c r="A295" s="1">
        <v>51010571</v>
      </c>
      <c r="B295" s="1" t="str">
        <f>_xlfn.XLOOKUP(A295,Sheet1!A:A,Sheet1!D:D,"")</f>
        <v>DRI-TEC PROTECTOR</v>
      </c>
      <c r="C295" s="1" t="s">
        <v>767</v>
      </c>
      <c r="D295" s="2">
        <f>_xlfn.XLOOKUP(A295,Sheet1!A:A,Sheet1!C:C,"")</f>
        <v>209.99</v>
      </c>
      <c r="E295" s="2">
        <v>209.99</v>
      </c>
      <c r="F295" s="1" t="s">
        <v>43</v>
      </c>
      <c r="H295" s="1" t="s">
        <v>768</v>
      </c>
      <c r="I295" s="1" t="s">
        <v>14</v>
      </c>
      <c r="J295" s="1" t="s">
        <v>769</v>
      </c>
    </row>
    <row r="296" spans="1:10" x14ac:dyDescent="0.35">
      <c r="A296" s="1">
        <v>51010583</v>
      </c>
      <c r="B296" s="1" t="str">
        <f>_xlfn.XLOOKUP(A296,Sheet1!A:A,Sheet1!D:D,"")</f>
        <v>DRI-TEC PROTECTOR</v>
      </c>
      <c r="C296" s="1" t="s">
        <v>770</v>
      </c>
      <c r="D296" s="2">
        <f>_xlfn.XLOOKUP(A296,Sheet1!A:A,Sheet1!C:C,"")</f>
        <v>179.99</v>
      </c>
      <c r="E296" s="2">
        <v>179.99</v>
      </c>
      <c r="F296" s="1" t="s">
        <v>43</v>
      </c>
      <c r="H296" s="1" t="s">
        <v>771</v>
      </c>
      <c r="I296" s="1" t="s">
        <v>14</v>
      </c>
      <c r="J296" s="1" t="s">
        <v>772</v>
      </c>
    </row>
    <row r="297" spans="1:10" x14ac:dyDescent="0.35">
      <c r="A297" s="1">
        <v>51010595</v>
      </c>
      <c r="B297" s="1" t="str">
        <f>_xlfn.XLOOKUP(A297,Sheet1!A:A,Sheet1!D:D,"")</f>
        <v>DRI-TEC PROTECTOR</v>
      </c>
      <c r="C297" s="1" t="s">
        <v>773</v>
      </c>
      <c r="D297" s="2">
        <f>_xlfn.XLOOKUP(A297,Sheet1!A:A,Sheet1!C:C,"")</f>
        <v>209.99</v>
      </c>
      <c r="E297" s="2">
        <v>209.99</v>
      </c>
      <c r="F297" s="1" t="s">
        <v>43</v>
      </c>
      <c r="H297" s="1" t="s">
        <v>771</v>
      </c>
      <c r="I297" s="1" t="s">
        <v>14</v>
      </c>
      <c r="J297" s="1" t="s">
        <v>774</v>
      </c>
    </row>
    <row r="298" spans="1:10" x14ac:dyDescent="0.35">
      <c r="A298" s="1">
        <v>51010608</v>
      </c>
      <c r="B298" s="1" t="str">
        <f>_xlfn.XLOOKUP(A298,Sheet1!A:A,Sheet1!D:D,"")</f>
        <v>VER-TEX PROTECTOR</v>
      </c>
      <c r="C298" s="1" t="s">
        <v>775</v>
      </c>
      <c r="D298" s="2">
        <f>_xlfn.XLOOKUP(A298,Sheet1!A:A,Sheet1!C:C,"")</f>
        <v>249.99</v>
      </c>
      <c r="E298" s="2">
        <v>249.99</v>
      </c>
      <c r="F298" s="1" t="s">
        <v>43</v>
      </c>
      <c r="H298" s="1" t="s">
        <v>776</v>
      </c>
      <c r="I298" s="1" t="s">
        <v>14</v>
      </c>
      <c r="J298" s="1" t="s">
        <v>74</v>
      </c>
    </row>
    <row r="299" spans="1:10" x14ac:dyDescent="0.35">
      <c r="A299" s="1">
        <v>51010610</v>
      </c>
      <c r="B299" s="1" t="str">
        <f>_xlfn.XLOOKUP(A299,Sheet1!A:A,Sheet1!D:D,"")</f>
        <v>VER-TEX PROTECTOR</v>
      </c>
      <c r="C299" s="1" t="s">
        <v>777</v>
      </c>
      <c r="D299" s="2">
        <f>_xlfn.XLOOKUP(A299,Sheet1!A:A,Sheet1!C:C,"")</f>
        <v>259.99</v>
      </c>
      <c r="E299" s="2">
        <v>259.99</v>
      </c>
      <c r="F299" s="1" t="s">
        <v>43</v>
      </c>
      <c r="H299" s="1" t="s">
        <v>778</v>
      </c>
      <c r="I299" s="1" t="s">
        <v>14</v>
      </c>
      <c r="J299" s="1" t="s">
        <v>15</v>
      </c>
    </row>
    <row r="300" spans="1:10" x14ac:dyDescent="0.35">
      <c r="A300" s="1">
        <v>51010622</v>
      </c>
      <c r="B300" s="1" t="str">
        <f>_xlfn.XLOOKUP(A300,Sheet1!A:A,Sheet1!D:D,"")</f>
        <v>VER-TEX PROTECTOR</v>
      </c>
      <c r="C300" s="1" t="s">
        <v>779</v>
      </c>
      <c r="D300" s="2">
        <f>_xlfn.XLOOKUP(A300,Sheet1!A:A,Sheet1!C:C,"")</f>
        <v>259.99</v>
      </c>
      <c r="E300" s="2">
        <v>259.99</v>
      </c>
      <c r="F300" s="1" t="s">
        <v>43</v>
      </c>
      <c r="H300" s="1" t="s">
        <v>776</v>
      </c>
      <c r="I300" s="1" t="s">
        <v>14</v>
      </c>
      <c r="J300" s="1" t="s">
        <v>317</v>
      </c>
    </row>
    <row r="301" spans="1:10" x14ac:dyDescent="0.35">
      <c r="A301" s="1">
        <v>51010634</v>
      </c>
      <c r="B301" s="1" t="str">
        <f>_xlfn.XLOOKUP(A301,Sheet1!A:A,Sheet1!D:D,"")</f>
        <v>VER-TEX PROTECTOR</v>
      </c>
      <c r="C301" s="1" t="s">
        <v>780</v>
      </c>
      <c r="D301" s="2">
        <f>_xlfn.XLOOKUP(A301,Sheet1!A:A,Sheet1!C:C,"")</f>
        <v>279.99</v>
      </c>
      <c r="E301" s="2">
        <v>279.99</v>
      </c>
      <c r="F301" s="1" t="s">
        <v>43</v>
      </c>
      <c r="H301" s="1" t="s">
        <v>776</v>
      </c>
      <c r="I301" s="1" t="s">
        <v>14</v>
      </c>
      <c r="J301" s="1" t="s">
        <v>451</v>
      </c>
    </row>
    <row r="302" spans="1:10" x14ac:dyDescent="0.35">
      <c r="A302" s="1">
        <v>51010646</v>
      </c>
      <c r="B302" s="1" t="str">
        <f>_xlfn.XLOOKUP(A302,Sheet1!A:A,Sheet1!D:D,"")</f>
        <v>VER-TEX PROTECTOR</v>
      </c>
      <c r="C302" s="1" t="s">
        <v>781</v>
      </c>
      <c r="D302" s="2">
        <f>_xlfn.XLOOKUP(A302,Sheet1!A:A,Sheet1!C:C,"")</f>
        <v>299.99</v>
      </c>
      <c r="E302" s="2">
        <v>299.99</v>
      </c>
      <c r="F302" s="1" t="s">
        <v>43</v>
      </c>
      <c r="H302" s="1" t="s">
        <v>776</v>
      </c>
      <c r="I302" s="1" t="s">
        <v>14</v>
      </c>
      <c r="J302" s="1" t="s">
        <v>594</v>
      </c>
    </row>
    <row r="303" spans="1:10" x14ac:dyDescent="0.35">
      <c r="A303" s="1">
        <v>51010658</v>
      </c>
      <c r="B303" s="1" t="str">
        <f>_xlfn.XLOOKUP(A303,Sheet1!A:A,Sheet1!D:D,"")</f>
        <v>VER-TEX PROTECTOR</v>
      </c>
      <c r="C303" s="1" t="s">
        <v>782</v>
      </c>
      <c r="D303" s="2">
        <f>_xlfn.XLOOKUP(A303,Sheet1!A:A,Sheet1!C:C,"")</f>
        <v>299.99</v>
      </c>
      <c r="E303" s="2">
        <v>299.99</v>
      </c>
      <c r="F303" s="1" t="s">
        <v>43</v>
      </c>
      <c r="H303" s="1" t="s">
        <v>776</v>
      </c>
      <c r="I303" s="1" t="s">
        <v>14</v>
      </c>
      <c r="J303" s="1" t="s">
        <v>751</v>
      </c>
    </row>
    <row r="304" spans="1:10" x14ac:dyDescent="0.35">
      <c r="A304" s="1">
        <v>51010660</v>
      </c>
      <c r="B304" s="1" t="str">
        <f>_xlfn.XLOOKUP(A304,Sheet1!A:A,Sheet1!D:D,"")</f>
        <v>VER-TEX PROTECTOR</v>
      </c>
      <c r="C304" s="1" t="s">
        <v>783</v>
      </c>
      <c r="D304" s="2">
        <f>_xlfn.XLOOKUP(A304,Sheet1!A:A,Sheet1!C:C,"")</f>
        <v>359.99</v>
      </c>
      <c r="E304" s="2">
        <v>359.99</v>
      </c>
      <c r="F304" s="1" t="s">
        <v>43</v>
      </c>
      <c r="H304" s="1" t="s">
        <v>776</v>
      </c>
      <c r="I304" s="1" t="s">
        <v>14</v>
      </c>
      <c r="J304" s="1" t="s">
        <v>784</v>
      </c>
    </row>
    <row r="305" spans="1:16" x14ac:dyDescent="0.35">
      <c r="A305" s="1">
        <v>51010672</v>
      </c>
      <c r="B305" s="1" t="str">
        <f>_xlfn.XLOOKUP(A305,Sheet1!A:A,Sheet1!D:D,"")</f>
        <v>VER-TEX PROTECTOR</v>
      </c>
      <c r="C305" s="1" t="s">
        <v>785</v>
      </c>
      <c r="D305" s="2">
        <f>_xlfn.XLOOKUP(A305,Sheet1!A:A,Sheet1!C:C,"")</f>
        <v>359.99</v>
      </c>
      <c r="E305" s="2">
        <v>359.99</v>
      </c>
      <c r="F305" s="1" t="s">
        <v>43</v>
      </c>
      <c r="H305" s="1" t="s">
        <v>786</v>
      </c>
      <c r="I305" s="1" t="s">
        <v>14</v>
      </c>
      <c r="J305" s="1" t="s">
        <v>769</v>
      </c>
    </row>
    <row r="306" spans="1:16" x14ac:dyDescent="0.35">
      <c r="A306" s="1">
        <v>51011004</v>
      </c>
      <c r="B306" s="1" t="str">
        <f>_xlfn.XLOOKUP(A306,Sheet1!A:A,Sheet1!D:D,"")</f>
        <v>IPROTECT SLEEPER PROTECTOR</v>
      </c>
      <c r="C306" s="1" t="s">
        <v>787</v>
      </c>
      <c r="D306" s="2">
        <f>_xlfn.XLOOKUP(A306,Sheet1!A:A,Sheet1!C:C,"")</f>
        <v>29.99</v>
      </c>
      <c r="E306" s="2">
        <v>29.99</v>
      </c>
      <c r="F306" s="1" t="s">
        <v>43</v>
      </c>
      <c r="H306" s="1" t="s">
        <v>788</v>
      </c>
      <c r="I306" s="1" t="s">
        <v>14</v>
      </c>
      <c r="J306" s="1" t="s">
        <v>74</v>
      </c>
    </row>
    <row r="307" spans="1:16" x14ac:dyDescent="0.35">
      <c r="A307" s="1">
        <v>51011028</v>
      </c>
      <c r="B307" s="1" t="str">
        <f>_xlfn.XLOOKUP(A307,Sheet1!A:A,Sheet1!D:D,"")</f>
        <v>IPROTECT SLEEPER PROTECTOR</v>
      </c>
      <c r="C307" s="1" t="s">
        <v>789</v>
      </c>
      <c r="D307" s="2">
        <f>_xlfn.XLOOKUP(A307,Sheet1!A:A,Sheet1!C:C,"")</f>
        <v>37.99</v>
      </c>
      <c r="E307" s="2">
        <v>37.99</v>
      </c>
      <c r="F307" s="1" t="s">
        <v>43</v>
      </c>
      <c r="H307" s="1" t="s">
        <v>788</v>
      </c>
      <c r="I307" s="1" t="s">
        <v>14</v>
      </c>
      <c r="J307" s="1" t="s">
        <v>317</v>
      </c>
    </row>
    <row r="308" spans="1:16" x14ac:dyDescent="0.35">
      <c r="A308" s="1">
        <v>51011030</v>
      </c>
      <c r="B308" s="1" t="str">
        <f>_xlfn.XLOOKUP(A308,Sheet1!A:A,Sheet1!D:D,"")</f>
        <v>IPROTECT SLEEPER PROTECTOR</v>
      </c>
      <c r="C308" s="1" t="s">
        <v>790</v>
      </c>
      <c r="D308" s="2">
        <f>_xlfn.XLOOKUP(A308,Sheet1!A:A,Sheet1!C:C,"")</f>
        <v>39.99</v>
      </c>
      <c r="E308" s="2">
        <v>39.99</v>
      </c>
      <c r="F308" s="1" t="s">
        <v>43</v>
      </c>
      <c r="H308" s="1" t="s">
        <v>788</v>
      </c>
      <c r="I308" s="1" t="s">
        <v>14</v>
      </c>
      <c r="J308" s="1" t="s">
        <v>451</v>
      </c>
    </row>
    <row r="309" spans="1:16" x14ac:dyDescent="0.35">
      <c r="A309" s="1">
        <v>51011042</v>
      </c>
      <c r="B309" s="1" t="str">
        <f>_xlfn.XLOOKUP(A309,Sheet1!A:A,Sheet1!D:D,"")</f>
        <v>IPROTECT SLEEPER PROTECTOR</v>
      </c>
      <c r="C309" s="1" t="s">
        <v>791</v>
      </c>
      <c r="D309" s="2">
        <f>_xlfn.XLOOKUP(A309,Sheet1!A:A,Sheet1!C:C,"")</f>
        <v>39.99</v>
      </c>
      <c r="E309" s="2">
        <v>39.99</v>
      </c>
      <c r="F309" s="1" t="s">
        <v>43</v>
      </c>
      <c r="H309" s="1" t="s">
        <v>788</v>
      </c>
      <c r="I309" s="1" t="s">
        <v>14</v>
      </c>
      <c r="J309" s="1" t="s">
        <v>451</v>
      </c>
    </row>
    <row r="310" spans="1:16" x14ac:dyDescent="0.35">
      <c r="A310" s="1">
        <v>51018604</v>
      </c>
      <c r="B310" s="1" t="str">
        <f>_xlfn.XLOOKUP(A310,Sheet1!A:A,Sheet1!D:D,"")</f>
        <v>EASE 4.0</v>
      </c>
      <c r="C310" s="1" t="s">
        <v>803</v>
      </c>
      <c r="D310" s="2">
        <f>_xlfn.XLOOKUP(A310,Sheet1!A:A,Sheet1!C:C,"")</f>
        <v>1499</v>
      </c>
      <c r="E310" s="2">
        <v>1499</v>
      </c>
      <c r="F310" s="1" t="s">
        <v>443</v>
      </c>
      <c r="H310" s="1" t="s">
        <v>310</v>
      </c>
      <c r="I310" s="1" t="s">
        <v>14</v>
      </c>
      <c r="J310" s="1" t="s">
        <v>594</v>
      </c>
    </row>
    <row r="311" spans="1:16" x14ac:dyDescent="0.35">
      <c r="A311" s="1">
        <v>51020003</v>
      </c>
      <c r="B311" s="1" t="str">
        <f>_xlfn.XLOOKUP(A311,Sheet1!A:A,Sheet1!D:D,"")</f>
        <v>IPROTECT PILLOW PROTECTOR</v>
      </c>
      <c r="C311" s="1" t="s">
        <v>804</v>
      </c>
      <c r="D311" s="2">
        <f>_xlfn.XLOOKUP(A311,Sheet1!A:A,Sheet1!C:C,"")</f>
        <v>9.99</v>
      </c>
      <c r="E311" s="2">
        <v>9.99</v>
      </c>
      <c r="F311" s="1" t="s">
        <v>43</v>
      </c>
      <c r="H311" s="1" t="s">
        <v>805</v>
      </c>
      <c r="I311" s="1" t="s">
        <v>14</v>
      </c>
      <c r="J311" s="1" t="s">
        <v>451</v>
      </c>
    </row>
    <row r="312" spans="1:16" x14ac:dyDescent="0.35">
      <c r="A312" s="1">
        <v>51020015</v>
      </c>
      <c r="B312" s="1" t="str">
        <f>_xlfn.XLOOKUP(A312,Sheet1!A:A,Sheet1!D:D,"")</f>
        <v>IPROTECT PILLOW PROTECTOR</v>
      </c>
      <c r="C312" s="1" t="s">
        <v>806</v>
      </c>
      <c r="D312" s="2">
        <f>_xlfn.XLOOKUP(A312,Sheet1!A:A,Sheet1!C:C,"")</f>
        <v>14.99</v>
      </c>
      <c r="E312" s="2">
        <v>14.99</v>
      </c>
      <c r="F312" s="1" t="s">
        <v>43</v>
      </c>
      <c r="H312" s="1" t="s">
        <v>805</v>
      </c>
      <c r="I312" s="1" t="s">
        <v>14</v>
      </c>
      <c r="J312" s="1" t="s">
        <v>594</v>
      </c>
    </row>
    <row r="313" spans="1:16" x14ac:dyDescent="0.35">
      <c r="A313" s="1">
        <v>51100546</v>
      </c>
      <c r="B313" s="1" t="str">
        <f>_xlfn.XLOOKUP(A313,Sheet1!A:A,Sheet1!D:D,"")</f>
        <v>CASPER CLOUD ONE</v>
      </c>
      <c r="C313" s="1" t="s">
        <v>811</v>
      </c>
      <c r="D313" s="2">
        <f>_xlfn.XLOOKUP(A313,Sheet1!A:A,Sheet1!C:C,"")</f>
        <v>1319</v>
      </c>
      <c r="E313" s="2">
        <v>1649</v>
      </c>
      <c r="F313" s="1" t="s">
        <v>13</v>
      </c>
      <c r="I313" s="1" t="s">
        <v>14</v>
      </c>
      <c r="J313" s="1" t="s">
        <v>812</v>
      </c>
      <c r="K313" s="1" t="s">
        <v>16</v>
      </c>
      <c r="L313" s="1" t="s">
        <v>17</v>
      </c>
      <c r="M313" s="1" t="s">
        <v>18</v>
      </c>
      <c r="N313" s="1" t="s">
        <v>17</v>
      </c>
      <c r="O313" s="1" t="s">
        <v>19</v>
      </c>
      <c r="P313" s="1" t="s">
        <v>20</v>
      </c>
    </row>
    <row r="314" spans="1:16" x14ac:dyDescent="0.35">
      <c r="A314" s="1">
        <v>51100572</v>
      </c>
      <c r="B314" s="1" t="str">
        <f>_xlfn.XLOOKUP(A314,Sheet1!A:A,Sheet1!D:D,"")</f>
        <v>CASPER SNOW 2.0</v>
      </c>
      <c r="C314" s="1" t="s">
        <v>815</v>
      </c>
      <c r="D314" s="2">
        <f>_xlfn.XLOOKUP(A314,Sheet1!A:A,Sheet1!C:C,"")</f>
        <v>2595</v>
      </c>
      <c r="E314" s="2">
        <v>3295</v>
      </c>
      <c r="F314" s="1" t="s">
        <v>13</v>
      </c>
      <c r="H314" s="1" t="s">
        <v>27</v>
      </c>
      <c r="I314" s="1" t="s">
        <v>14</v>
      </c>
      <c r="J314" s="1" t="s">
        <v>751</v>
      </c>
      <c r="K314" s="1" t="s">
        <v>25</v>
      </c>
      <c r="L314" s="1" t="s">
        <v>17</v>
      </c>
      <c r="M314" s="1" t="s">
        <v>18</v>
      </c>
      <c r="N314" s="1" t="s">
        <v>17</v>
      </c>
      <c r="O314" s="1" t="s">
        <v>28</v>
      </c>
      <c r="P314" s="1" t="s">
        <v>20</v>
      </c>
    </row>
    <row r="315" spans="1:16" x14ac:dyDescent="0.35">
      <c r="A315" s="1">
        <v>51100584</v>
      </c>
      <c r="B315" s="1" t="str">
        <f>_xlfn.XLOOKUP(A315,Sheet1!A:A,Sheet1!D:D,"")</f>
        <v>CASPER SNOW MAX</v>
      </c>
      <c r="C315" s="1" t="s">
        <v>816</v>
      </c>
      <c r="D315" s="2">
        <f>_xlfn.XLOOKUP(A315,Sheet1!A:A,Sheet1!C:C,"")</f>
        <v>3895</v>
      </c>
      <c r="E315" s="2">
        <v>4895</v>
      </c>
      <c r="F315" s="1" t="s">
        <v>13</v>
      </c>
      <c r="H315" s="1" t="s">
        <v>30</v>
      </c>
      <c r="I315" s="1" t="s">
        <v>14</v>
      </c>
      <c r="J315" s="1" t="s">
        <v>751</v>
      </c>
      <c r="K315" s="1" t="s">
        <v>25</v>
      </c>
      <c r="L315" s="1" t="s">
        <v>28</v>
      </c>
      <c r="M315" s="1" t="s">
        <v>31</v>
      </c>
      <c r="N315" s="1" t="s">
        <v>17</v>
      </c>
      <c r="O315" s="1" t="s">
        <v>32</v>
      </c>
      <c r="P315" s="1" t="s">
        <v>33</v>
      </c>
    </row>
    <row r="316" spans="1:16" x14ac:dyDescent="0.35">
      <c r="A316" s="1">
        <v>51100685</v>
      </c>
      <c r="B316" s="1" t="str">
        <f>_xlfn.XLOOKUP(A316,Sheet1!A:A,Sheet1!D:D,"")</f>
        <v>CASPER ONYX 2.0</v>
      </c>
      <c r="C316" s="1" t="s">
        <v>818</v>
      </c>
      <c r="D316" s="2">
        <f>_xlfn.XLOOKUP(A316,Sheet1!A:A,Sheet1!C:C,"")</f>
        <v>1199</v>
      </c>
      <c r="E316" s="2">
        <v>1299</v>
      </c>
      <c r="F316" s="1" t="s">
        <v>13</v>
      </c>
      <c r="G316" s="1" t="s">
        <v>1161</v>
      </c>
      <c r="H316" s="1" t="s">
        <v>213</v>
      </c>
      <c r="I316" s="1" t="s">
        <v>14</v>
      </c>
      <c r="J316" s="1" t="s">
        <v>751</v>
      </c>
      <c r="K316" s="1" t="s">
        <v>16</v>
      </c>
      <c r="L316" s="1" t="s">
        <v>19</v>
      </c>
      <c r="M316" s="1" t="s">
        <v>18</v>
      </c>
      <c r="N316" s="1" t="s">
        <v>19</v>
      </c>
      <c r="O316" s="1" t="s">
        <v>19</v>
      </c>
      <c r="P316" s="1" t="s">
        <v>20</v>
      </c>
    </row>
    <row r="317" spans="1:16" x14ac:dyDescent="0.35">
      <c r="A317" s="1">
        <v>51101776</v>
      </c>
      <c r="B317" s="1" t="str">
        <f>_xlfn.XLOOKUP(A317,Sheet1!A:A,Sheet1!D:D,"")</f>
        <v>SMART MATCH 2.0</v>
      </c>
      <c r="C317" s="1" t="s">
        <v>819</v>
      </c>
      <c r="D317" s="2">
        <f>_xlfn.XLOOKUP(A317,Sheet1!A:A,Sheet1!C:C,"")</f>
        <v>1777</v>
      </c>
      <c r="E317" s="2">
        <v>4899</v>
      </c>
      <c r="F317" s="1" t="s">
        <v>38</v>
      </c>
      <c r="J317" s="1" t="s">
        <v>751</v>
      </c>
      <c r="K317" s="1" t="s">
        <v>39</v>
      </c>
      <c r="L317" s="1" t="s">
        <v>28</v>
      </c>
      <c r="M317" s="1" t="s">
        <v>18</v>
      </c>
      <c r="N317" s="1" t="s">
        <v>28</v>
      </c>
      <c r="O317" s="1" t="s">
        <v>17</v>
      </c>
      <c r="P317" s="1" t="s">
        <v>20</v>
      </c>
    </row>
    <row r="318" spans="1:16" x14ac:dyDescent="0.35">
      <c r="A318" s="1">
        <v>51107463</v>
      </c>
      <c r="B318" s="1" t="str">
        <f>_xlfn.XLOOKUP(A318,Sheet1!A:A,Sheet1!D:D,"")</f>
        <v>ADAPT 2.0 MEDIUM</v>
      </c>
      <c r="C318" s="1" t="s">
        <v>820</v>
      </c>
      <c r="D318" s="2">
        <f>_xlfn.XLOOKUP(A318,Sheet1!A:A,Sheet1!C:C,"")</f>
        <v>2899</v>
      </c>
      <c r="E318" s="2">
        <v>2899</v>
      </c>
      <c r="F318" s="1" t="s">
        <v>46</v>
      </c>
      <c r="H318" s="1" t="s">
        <v>47</v>
      </c>
      <c r="I318" s="1" t="s">
        <v>14</v>
      </c>
      <c r="J318" s="1" t="s">
        <v>751</v>
      </c>
      <c r="K318" s="1" t="s">
        <v>16</v>
      </c>
      <c r="L318" s="1" t="s">
        <v>28</v>
      </c>
      <c r="M318" s="1" t="s">
        <v>18</v>
      </c>
      <c r="N318" s="1" t="s">
        <v>28</v>
      </c>
      <c r="O318" s="1" t="s">
        <v>28</v>
      </c>
      <c r="P318" s="1" t="s">
        <v>20</v>
      </c>
    </row>
    <row r="319" spans="1:16" x14ac:dyDescent="0.35">
      <c r="A319" s="1">
        <v>51107475</v>
      </c>
      <c r="B319" s="1" t="str">
        <f>_xlfn.XLOOKUP(A319,Sheet1!A:A,Sheet1!D:D,"")</f>
        <v>ADAPT 2.0 MEDIUM HYBRID</v>
      </c>
      <c r="C319" s="1" t="s">
        <v>821</v>
      </c>
      <c r="D319" s="2">
        <f>_xlfn.XLOOKUP(A319,Sheet1!A:A,Sheet1!C:C,"")</f>
        <v>3199</v>
      </c>
      <c r="E319" s="2">
        <v>3199</v>
      </c>
      <c r="F319" s="1" t="s">
        <v>46</v>
      </c>
      <c r="H319" s="1" t="s">
        <v>49</v>
      </c>
      <c r="I319" s="1" t="s">
        <v>14</v>
      </c>
      <c r="J319" s="1" t="s">
        <v>751</v>
      </c>
      <c r="K319" s="1" t="s">
        <v>25</v>
      </c>
      <c r="L319" s="1" t="s">
        <v>28</v>
      </c>
      <c r="M319" s="1" t="s">
        <v>18</v>
      </c>
      <c r="N319" s="1" t="s">
        <v>28</v>
      </c>
      <c r="O319" s="1" t="s">
        <v>28</v>
      </c>
      <c r="P319" s="1" t="s">
        <v>20</v>
      </c>
    </row>
    <row r="320" spans="1:16" x14ac:dyDescent="0.35">
      <c r="A320" s="1">
        <v>51107487</v>
      </c>
      <c r="B320" s="1" t="str">
        <f>_xlfn.XLOOKUP(A320,Sheet1!A:A,Sheet1!D:D,"")</f>
        <v>PROADAPT 2.0 FIRM</v>
      </c>
      <c r="C320" s="1" t="s">
        <v>822</v>
      </c>
      <c r="D320" s="2">
        <f>_xlfn.XLOOKUP(A320,Sheet1!A:A,Sheet1!C:C,"")</f>
        <v>4099</v>
      </c>
      <c r="E320" s="2">
        <v>4099</v>
      </c>
      <c r="F320" s="1" t="s">
        <v>46</v>
      </c>
      <c r="H320" s="1" t="s">
        <v>51</v>
      </c>
      <c r="I320" s="1" t="s">
        <v>14</v>
      </c>
      <c r="J320" s="1" t="s">
        <v>751</v>
      </c>
      <c r="K320" s="1" t="s">
        <v>16</v>
      </c>
      <c r="L320" s="1" t="s">
        <v>28</v>
      </c>
      <c r="M320" s="1" t="s">
        <v>22</v>
      </c>
      <c r="N320" s="1" t="s">
        <v>32</v>
      </c>
      <c r="O320" s="1" t="s">
        <v>28</v>
      </c>
      <c r="P320" s="1" t="s">
        <v>23</v>
      </c>
    </row>
    <row r="321" spans="1:16" x14ac:dyDescent="0.35">
      <c r="A321" s="1">
        <v>51107514</v>
      </c>
      <c r="B321" s="1" t="str">
        <f>_xlfn.XLOOKUP(A321,Sheet1!A:A,Sheet1!D:D,"")</f>
        <v>PROBREEZE 2.0 MEDIUM HYBRID</v>
      </c>
      <c r="C321" s="1" t="s">
        <v>824</v>
      </c>
      <c r="D321" s="2">
        <f>_xlfn.XLOOKUP(A321,Sheet1!A:A,Sheet1!C:C,"")</f>
        <v>5099</v>
      </c>
      <c r="E321" s="2">
        <v>5099</v>
      </c>
      <c r="F321" s="1" t="s">
        <v>46</v>
      </c>
      <c r="H321" s="1" t="s">
        <v>54</v>
      </c>
      <c r="I321" s="1" t="s">
        <v>14</v>
      </c>
      <c r="J321" s="1" t="s">
        <v>751</v>
      </c>
      <c r="K321" s="1" t="s">
        <v>25</v>
      </c>
      <c r="L321" s="1" t="s">
        <v>28</v>
      </c>
      <c r="M321" s="1" t="s">
        <v>18</v>
      </c>
      <c r="N321" s="1" t="s">
        <v>32</v>
      </c>
      <c r="O321" s="1" t="s">
        <v>32</v>
      </c>
      <c r="P321" s="1" t="s">
        <v>20</v>
      </c>
    </row>
    <row r="322" spans="1:16" x14ac:dyDescent="0.35">
      <c r="A322" s="1">
        <v>51107526</v>
      </c>
      <c r="B322" s="1" t="str">
        <f>_xlfn.XLOOKUP(A322,Sheet1!A:A,Sheet1!D:D,"")</f>
        <v>PROADAPT 2.0 MEDIUM</v>
      </c>
      <c r="C322" s="1" t="s">
        <v>825</v>
      </c>
      <c r="D322" s="2">
        <f>_xlfn.XLOOKUP(A322,Sheet1!A:A,Sheet1!C:C,"")</f>
        <v>4099</v>
      </c>
      <c r="E322" s="2">
        <v>4099</v>
      </c>
      <c r="F322" s="1" t="s">
        <v>46</v>
      </c>
      <c r="H322" s="1" t="s">
        <v>51</v>
      </c>
      <c r="I322" s="1" t="s">
        <v>14</v>
      </c>
      <c r="J322" s="1" t="s">
        <v>751</v>
      </c>
      <c r="K322" s="1" t="s">
        <v>16</v>
      </c>
      <c r="L322" s="1" t="s">
        <v>28</v>
      </c>
      <c r="M322" s="1" t="s">
        <v>18</v>
      </c>
      <c r="N322" s="1" t="s">
        <v>32</v>
      </c>
      <c r="O322" s="1" t="s">
        <v>28</v>
      </c>
      <c r="P322" s="1" t="s">
        <v>20</v>
      </c>
    </row>
    <row r="323" spans="1:16" x14ac:dyDescent="0.35">
      <c r="A323" s="1">
        <v>51107538</v>
      </c>
      <c r="B323" s="1" t="str">
        <f>_xlfn.XLOOKUP(A323,Sheet1!A:A,Sheet1!D:D,"")</f>
        <v>PROADAPT 2.0 SOFT</v>
      </c>
      <c r="C323" s="1" t="s">
        <v>826</v>
      </c>
      <c r="D323" s="2">
        <f>_xlfn.XLOOKUP(A323,Sheet1!A:A,Sheet1!C:C,"")</f>
        <v>4099</v>
      </c>
      <c r="E323" s="2">
        <v>4099</v>
      </c>
      <c r="F323" s="1" t="s">
        <v>46</v>
      </c>
      <c r="H323" s="1" t="s">
        <v>57</v>
      </c>
      <c r="I323" s="1" t="s">
        <v>14</v>
      </c>
      <c r="J323" s="1" t="s">
        <v>751</v>
      </c>
      <c r="K323" s="1" t="s">
        <v>16</v>
      </c>
      <c r="L323" s="1" t="s">
        <v>32</v>
      </c>
      <c r="M323" s="1" t="s">
        <v>31</v>
      </c>
      <c r="N323" s="1" t="s">
        <v>32</v>
      </c>
      <c r="O323" s="1" t="s">
        <v>28</v>
      </c>
      <c r="P323" s="1" t="s">
        <v>33</v>
      </c>
    </row>
    <row r="324" spans="1:16" x14ac:dyDescent="0.35">
      <c r="A324" s="1">
        <v>51107552</v>
      </c>
      <c r="B324" s="1" t="str">
        <f>_xlfn.XLOOKUP(A324,Sheet1!A:A,Sheet1!D:D,"")</f>
        <v>PROADAPT 2.0 MEDIUM HYBRID</v>
      </c>
      <c r="C324" s="1" t="s">
        <v>827</v>
      </c>
      <c r="D324" s="2">
        <f>_xlfn.XLOOKUP(A324,Sheet1!A:A,Sheet1!C:C,"")</f>
        <v>4099</v>
      </c>
      <c r="E324" s="2">
        <v>4099</v>
      </c>
      <c r="F324" s="1" t="s">
        <v>46</v>
      </c>
      <c r="H324" s="1" t="s">
        <v>337</v>
      </c>
      <c r="I324" s="1" t="s">
        <v>14</v>
      </c>
      <c r="J324" s="1" t="s">
        <v>751</v>
      </c>
      <c r="K324" s="1" t="s">
        <v>25</v>
      </c>
      <c r="L324" s="1" t="s">
        <v>28</v>
      </c>
      <c r="M324" s="1" t="s">
        <v>18</v>
      </c>
      <c r="N324" s="1" t="s">
        <v>32</v>
      </c>
      <c r="O324" s="1" t="s">
        <v>28</v>
      </c>
      <c r="P324" s="1" t="s">
        <v>20</v>
      </c>
    </row>
    <row r="325" spans="1:16" x14ac:dyDescent="0.35">
      <c r="A325" s="1">
        <v>51107564</v>
      </c>
      <c r="B325" s="1" t="str">
        <f>_xlfn.XLOOKUP(A325,Sheet1!A:A,Sheet1!D:D,"")</f>
        <v>LUXEADAPT 2.0 SOFT</v>
      </c>
      <c r="C325" s="1" t="s">
        <v>828</v>
      </c>
      <c r="D325" s="2">
        <f>_xlfn.XLOOKUP(A325,Sheet1!A:A,Sheet1!C:C,"")</f>
        <v>5399</v>
      </c>
      <c r="E325" s="2">
        <v>5399</v>
      </c>
      <c r="F325" s="1" t="s">
        <v>46</v>
      </c>
      <c r="H325" s="1" t="s">
        <v>61</v>
      </c>
      <c r="I325" s="1" t="s">
        <v>14</v>
      </c>
      <c r="J325" s="1" t="s">
        <v>751</v>
      </c>
      <c r="K325" s="1" t="s">
        <v>16</v>
      </c>
      <c r="L325" s="1" t="s">
        <v>32</v>
      </c>
      <c r="M325" s="1" t="s">
        <v>31</v>
      </c>
      <c r="N325" s="1" t="s">
        <v>32</v>
      </c>
      <c r="O325" s="1" t="s">
        <v>28</v>
      </c>
      <c r="P325" s="1" t="s">
        <v>33</v>
      </c>
    </row>
    <row r="326" spans="1:16" x14ac:dyDescent="0.35">
      <c r="A326" s="1">
        <v>51107588</v>
      </c>
      <c r="B326" s="1" t="str">
        <f>_xlfn.XLOOKUP(A326,Sheet1!A:A,Sheet1!D:D,"")</f>
        <v>LUXEADAPT 2.0 MEDIUM HYBRID</v>
      </c>
      <c r="C326" s="1" t="s">
        <v>830</v>
      </c>
      <c r="D326" s="2">
        <f>_xlfn.XLOOKUP(A326,Sheet1!A:A,Sheet1!C:C,"")</f>
        <v>5399</v>
      </c>
      <c r="E326" s="2">
        <v>5399</v>
      </c>
      <c r="F326" s="1" t="s">
        <v>46</v>
      </c>
      <c r="H326" s="1" t="s">
        <v>64</v>
      </c>
      <c r="I326" s="1" t="s">
        <v>14</v>
      </c>
      <c r="J326" s="1" t="s">
        <v>751</v>
      </c>
      <c r="K326" s="1" t="s">
        <v>25</v>
      </c>
      <c r="L326" s="1" t="s">
        <v>32</v>
      </c>
      <c r="M326" s="1" t="s">
        <v>18</v>
      </c>
      <c r="N326" s="1" t="s">
        <v>32</v>
      </c>
      <c r="O326" s="1" t="s">
        <v>28</v>
      </c>
      <c r="P326" s="1" t="s">
        <v>20</v>
      </c>
    </row>
    <row r="327" spans="1:16" x14ac:dyDescent="0.35">
      <c r="A327" s="1">
        <v>51107627</v>
      </c>
      <c r="B327" s="1" t="str">
        <f>_xlfn.XLOOKUP(A327,Sheet1!A:A,Sheet1!D:D,"")</f>
        <v>LUXEBREEZE 2.0 FIRM</v>
      </c>
      <c r="C327" s="1" t="s">
        <v>834</v>
      </c>
      <c r="D327" s="2">
        <f>_xlfn.XLOOKUP(A327,Sheet1!A:A,Sheet1!C:C,"")</f>
        <v>6399</v>
      </c>
      <c r="E327" s="2">
        <v>6399</v>
      </c>
      <c r="F327" s="1" t="s">
        <v>46</v>
      </c>
      <c r="H327" s="1" t="s">
        <v>68</v>
      </c>
      <c r="I327" s="1" t="s">
        <v>14</v>
      </c>
      <c r="J327" s="1" t="s">
        <v>751</v>
      </c>
      <c r="K327" s="1" t="s">
        <v>16</v>
      </c>
      <c r="L327" s="1" t="s">
        <v>32</v>
      </c>
      <c r="M327" s="1" t="s">
        <v>22</v>
      </c>
      <c r="N327" s="1" t="s">
        <v>32</v>
      </c>
      <c r="O327" s="1" t="s">
        <v>32</v>
      </c>
      <c r="P327" s="1" t="s">
        <v>23</v>
      </c>
    </row>
    <row r="328" spans="1:16" x14ac:dyDescent="0.35">
      <c r="A328" s="1">
        <v>51109873</v>
      </c>
      <c r="B328" s="1" t="str">
        <f>_xlfn.XLOOKUP(A328,Sheet1!A:A,Sheet1!D:D,"")</f>
        <v>TUFT &amp; NEEDLE STITCH TN3.1</v>
      </c>
      <c r="C328" s="1" t="s">
        <v>835</v>
      </c>
      <c r="D328" s="2">
        <f>_xlfn.XLOOKUP(A328,Sheet1!A:A,Sheet1!C:C,"")</f>
        <v>1397</v>
      </c>
      <c r="E328" s="2">
        <v>1699</v>
      </c>
      <c r="F328" s="1" t="s">
        <v>71</v>
      </c>
      <c r="G328" s="1" t="s">
        <v>1161</v>
      </c>
      <c r="I328" s="1" t="s">
        <v>14</v>
      </c>
      <c r="J328" s="1" t="s">
        <v>812</v>
      </c>
      <c r="K328" s="1" t="s">
        <v>25</v>
      </c>
      <c r="L328" s="1" t="s">
        <v>17</v>
      </c>
      <c r="M328" s="1" t="s">
        <v>18</v>
      </c>
      <c r="N328" s="1" t="s">
        <v>17</v>
      </c>
      <c r="O328" s="1" t="s">
        <v>17</v>
      </c>
      <c r="P328" s="1" t="s">
        <v>20</v>
      </c>
    </row>
    <row r="329" spans="1:16" x14ac:dyDescent="0.35">
      <c r="A329" s="1">
        <v>51109885</v>
      </c>
      <c r="B329" s="1" t="str">
        <f>_xlfn.XLOOKUP(A329,Sheet1!A:A,Sheet1!D:D,"")</f>
        <v>TUFT &amp; NEEDLE STITCH TN5.1</v>
      </c>
      <c r="C329" s="1" t="s">
        <v>836</v>
      </c>
      <c r="D329" s="2">
        <f>_xlfn.XLOOKUP(A329,Sheet1!A:A,Sheet1!C:C,"")</f>
        <v>1495</v>
      </c>
      <c r="E329" s="2">
        <v>2199</v>
      </c>
      <c r="F329" s="1" t="s">
        <v>71</v>
      </c>
      <c r="G329" s="1" t="s">
        <v>1161</v>
      </c>
      <c r="I329" s="1" t="s">
        <v>14</v>
      </c>
      <c r="J329" s="1" t="s">
        <v>812</v>
      </c>
      <c r="K329" s="1" t="s">
        <v>25</v>
      </c>
      <c r="L329" s="1" t="s">
        <v>28</v>
      </c>
      <c r="M329" s="1" t="s">
        <v>22</v>
      </c>
      <c r="N329" s="1" t="s">
        <v>28</v>
      </c>
      <c r="O329" s="1" t="s">
        <v>28</v>
      </c>
      <c r="P329" s="1" t="s">
        <v>23</v>
      </c>
    </row>
    <row r="330" spans="1:16" x14ac:dyDescent="0.35">
      <c r="A330" s="1">
        <v>51109900</v>
      </c>
      <c r="B330" s="1" t="str">
        <f>_xlfn.XLOOKUP(A330,Sheet1!A:A,Sheet1!D:D,"")</f>
        <v>TUFT &amp; NEEDLE STITCH TN9.1</v>
      </c>
      <c r="C330" s="1" t="s">
        <v>838</v>
      </c>
      <c r="D330" s="2">
        <f>_xlfn.XLOOKUP(A330,Sheet1!A:A,Sheet1!C:C,"")</f>
        <v>2497</v>
      </c>
      <c r="E330" s="2">
        <v>2999</v>
      </c>
      <c r="F330" s="1" t="s">
        <v>71</v>
      </c>
      <c r="G330" s="1" t="s">
        <v>1161</v>
      </c>
      <c r="I330" s="1" t="s">
        <v>14</v>
      </c>
      <c r="J330" s="1" t="s">
        <v>751</v>
      </c>
      <c r="K330" s="1" t="s">
        <v>25</v>
      </c>
      <c r="L330" s="1" t="s">
        <v>32</v>
      </c>
      <c r="M330" s="1" t="s">
        <v>31</v>
      </c>
      <c r="N330" s="1" t="s">
        <v>28</v>
      </c>
      <c r="O330" s="1" t="s">
        <v>28</v>
      </c>
      <c r="P330" s="1" t="s">
        <v>33</v>
      </c>
    </row>
    <row r="331" spans="1:16" x14ac:dyDescent="0.35">
      <c r="A331" s="1">
        <v>51109936</v>
      </c>
      <c r="B331" s="1" t="str">
        <f>_xlfn.XLOOKUP(A331,Sheet1!A:A,Sheet1!D:D,"")</f>
        <v>TUFT &amp; NEEDLE TN1</v>
      </c>
      <c r="C331" s="1" t="s">
        <v>839</v>
      </c>
      <c r="D331" s="2">
        <f>_xlfn.XLOOKUP(A331,Sheet1!A:A,Sheet1!C:C,"")</f>
        <v>1177</v>
      </c>
      <c r="E331" s="2">
        <v>1299</v>
      </c>
      <c r="F331" s="1" t="s">
        <v>71</v>
      </c>
      <c r="G331" s="1" t="s">
        <v>1161</v>
      </c>
      <c r="H331" s="1" t="s">
        <v>77</v>
      </c>
      <c r="I331" s="1" t="s">
        <v>14</v>
      </c>
      <c r="J331" s="1" t="s">
        <v>751</v>
      </c>
      <c r="K331" s="1" t="s">
        <v>16</v>
      </c>
      <c r="L331" s="1" t="s">
        <v>19</v>
      </c>
      <c r="M331" s="1" t="s">
        <v>22</v>
      </c>
      <c r="N331" s="1" t="s">
        <v>19</v>
      </c>
      <c r="O331" s="1" t="s">
        <v>19</v>
      </c>
      <c r="P331" s="1" t="s">
        <v>23</v>
      </c>
    </row>
    <row r="332" spans="1:16" x14ac:dyDescent="0.35">
      <c r="A332" s="1">
        <v>51110674</v>
      </c>
      <c r="B332" s="1" t="str">
        <f>_xlfn.XLOOKUP(A332,Sheet1!A:A,Sheet1!D:D,"")</f>
        <v>BROAD PEAK MEDIUM HYBRID</v>
      </c>
      <c r="C332" s="1" t="s">
        <v>840</v>
      </c>
      <c r="D332" s="2">
        <f>_xlfn.XLOOKUP(A332,Sheet1!A:A,Sheet1!C:C,"")</f>
        <v>1195</v>
      </c>
      <c r="E332" s="2">
        <v>1499.99</v>
      </c>
      <c r="F332" s="1" t="s">
        <v>81</v>
      </c>
      <c r="G332" s="1" t="s">
        <v>1161</v>
      </c>
      <c r="H332" s="1" t="s">
        <v>82</v>
      </c>
      <c r="I332" s="1" t="s">
        <v>14</v>
      </c>
      <c r="J332" s="1" t="s">
        <v>751</v>
      </c>
      <c r="K332" s="1" t="s">
        <v>25</v>
      </c>
      <c r="L332" s="1" t="s">
        <v>17</v>
      </c>
      <c r="M332" s="1" t="s">
        <v>18</v>
      </c>
      <c r="N332" s="1" t="s">
        <v>17</v>
      </c>
      <c r="O332" s="1" t="s">
        <v>17</v>
      </c>
      <c r="P332" s="1" t="s">
        <v>20</v>
      </c>
    </row>
    <row r="333" spans="1:16" x14ac:dyDescent="0.35">
      <c r="A333" s="1">
        <v>51122213</v>
      </c>
      <c r="B333" s="1" t="str">
        <f>_xlfn.XLOOKUP(A333,Sheet1!A:A,Sheet1!D:D,"")</f>
        <v>OCEANA MIST</v>
      </c>
      <c r="C333" s="1" t="s">
        <v>844</v>
      </c>
      <c r="D333" s="2">
        <f>_xlfn.XLOOKUP(A333,Sheet1!A:A,Sheet1!C:C,"")</f>
        <v>697</v>
      </c>
      <c r="E333" s="2">
        <v>999.99</v>
      </c>
      <c r="F333" s="1" t="s">
        <v>117</v>
      </c>
      <c r="G333" s="1" t="s">
        <v>1161</v>
      </c>
      <c r="H333" s="1" t="s">
        <v>118</v>
      </c>
      <c r="I333" s="1" t="s">
        <v>14</v>
      </c>
      <c r="J333" s="1" t="s">
        <v>751</v>
      </c>
      <c r="K333" s="1" t="s">
        <v>25</v>
      </c>
      <c r="L333" s="1" t="s">
        <v>19</v>
      </c>
      <c r="M333" s="1" t="s">
        <v>18</v>
      </c>
      <c r="N333" s="1" t="s">
        <v>17</v>
      </c>
      <c r="O333" s="1" t="s">
        <v>19</v>
      </c>
      <c r="P333" s="1" t="s">
        <v>20</v>
      </c>
    </row>
    <row r="334" spans="1:16" x14ac:dyDescent="0.35">
      <c r="A334" s="1">
        <v>51125740</v>
      </c>
      <c r="B334" s="1" t="str">
        <f>_xlfn.XLOOKUP(A334,Sheet1!A:A,Sheet1!D:D,"")</f>
        <v>LEVEL THREE PLUSH</v>
      </c>
      <c r="C334" s="1" t="s">
        <v>846</v>
      </c>
      <c r="D334" s="2">
        <f>_xlfn.XLOOKUP(A334,Sheet1!A:A,Sheet1!C:C,"")</f>
        <v>1749</v>
      </c>
      <c r="E334" s="2">
        <v>1749</v>
      </c>
      <c r="F334" s="1" t="s">
        <v>121</v>
      </c>
      <c r="H334" s="1" t="s">
        <v>122</v>
      </c>
      <c r="I334" s="1" t="s">
        <v>14</v>
      </c>
      <c r="J334" s="1" t="s">
        <v>751</v>
      </c>
      <c r="K334" s="1" t="s">
        <v>39</v>
      </c>
      <c r="L334" s="1" t="s">
        <v>28</v>
      </c>
      <c r="M334" s="1" t="s">
        <v>31</v>
      </c>
      <c r="N334" s="1" t="s">
        <v>28</v>
      </c>
      <c r="O334" s="1" t="s">
        <v>28</v>
      </c>
      <c r="P334" s="1" t="s">
        <v>33</v>
      </c>
    </row>
    <row r="335" spans="1:16" x14ac:dyDescent="0.35">
      <c r="A335" s="1">
        <v>51125752</v>
      </c>
      <c r="B335" s="1" t="str">
        <f>_xlfn.XLOOKUP(A335,Sheet1!A:A,Sheet1!D:D,"")</f>
        <v>LEVEL THREE MEDIUM PILLOWTOP</v>
      </c>
      <c r="C335" s="1" t="s">
        <v>847</v>
      </c>
      <c r="D335" s="2">
        <f>_xlfn.XLOOKUP(A335,Sheet1!A:A,Sheet1!C:C,"")</f>
        <v>1949</v>
      </c>
      <c r="E335" s="2">
        <v>1949</v>
      </c>
      <c r="F335" s="1" t="s">
        <v>121</v>
      </c>
      <c r="H335" s="1" t="s">
        <v>124</v>
      </c>
      <c r="I335" s="1" t="s">
        <v>14</v>
      </c>
      <c r="J335" s="1" t="s">
        <v>751</v>
      </c>
      <c r="K335" s="1" t="s">
        <v>39</v>
      </c>
      <c r="L335" s="1" t="s">
        <v>28</v>
      </c>
      <c r="M335" s="1" t="s">
        <v>18</v>
      </c>
      <c r="N335" s="1" t="s">
        <v>28</v>
      </c>
      <c r="O335" s="1" t="s">
        <v>28</v>
      </c>
      <c r="P335" s="1" t="s">
        <v>20</v>
      </c>
    </row>
    <row r="336" spans="1:16" x14ac:dyDescent="0.35">
      <c r="A336" s="1">
        <v>51125803</v>
      </c>
      <c r="B336" s="1" t="str">
        <f>_xlfn.XLOOKUP(A336,Sheet1!A:A,Sheet1!D:D,"")</f>
        <v>LEVEL FOUR PLUSH PILLOWTOP</v>
      </c>
      <c r="C336" s="1" t="s">
        <v>848</v>
      </c>
      <c r="D336" s="2">
        <f>_xlfn.XLOOKUP(A336,Sheet1!A:A,Sheet1!C:C,"")</f>
        <v>2299</v>
      </c>
      <c r="E336" s="2">
        <v>2299</v>
      </c>
      <c r="F336" s="1" t="s">
        <v>121</v>
      </c>
      <c r="H336" s="1" t="s">
        <v>126</v>
      </c>
      <c r="I336" s="1" t="s">
        <v>14</v>
      </c>
      <c r="J336" s="1" t="s">
        <v>751</v>
      </c>
      <c r="K336" s="1" t="s">
        <v>39</v>
      </c>
      <c r="L336" s="1" t="s">
        <v>32</v>
      </c>
      <c r="M336" s="1" t="s">
        <v>31</v>
      </c>
      <c r="N336" s="1" t="s">
        <v>28</v>
      </c>
      <c r="O336" s="1" t="s">
        <v>28</v>
      </c>
      <c r="P336" s="1" t="s">
        <v>33</v>
      </c>
    </row>
    <row r="337" spans="1:16" x14ac:dyDescent="0.35">
      <c r="A337" s="1">
        <v>51128950</v>
      </c>
      <c r="B337" s="1" t="str">
        <f>_xlfn.XLOOKUP(A337,Sheet1!A:A,Sheet1!D:D,"")</f>
        <v>KERRY PARK</v>
      </c>
      <c r="C337" s="1" t="s">
        <v>849</v>
      </c>
      <c r="D337" s="2">
        <f>_xlfn.XLOOKUP(A337,Sheet1!A:A,Sheet1!C:C,"")</f>
        <v>1397</v>
      </c>
      <c r="E337" s="2">
        <v>1999</v>
      </c>
      <c r="F337" s="1" t="s">
        <v>128</v>
      </c>
      <c r="G337" s="1" t="s">
        <v>1161</v>
      </c>
      <c r="I337" s="1" t="s">
        <v>14</v>
      </c>
      <c r="J337" s="1" t="s">
        <v>751</v>
      </c>
      <c r="K337" s="1" t="s">
        <v>39</v>
      </c>
      <c r="L337" s="1" t="s">
        <v>28</v>
      </c>
      <c r="M337" s="1" t="s">
        <v>31</v>
      </c>
      <c r="N337" s="1" t="s">
        <v>17</v>
      </c>
      <c r="O337" s="1" t="s">
        <v>17</v>
      </c>
      <c r="P337" s="1" t="s">
        <v>100</v>
      </c>
    </row>
    <row r="338" spans="1:16" x14ac:dyDescent="0.35">
      <c r="A338" s="1">
        <v>51128974</v>
      </c>
      <c r="B338" s="1" t="str">
        <f>_xlfn.XLOOKUP(A338,Sheet1!A:A,Sheet1!D:D,"")</f>
        <v>NORTHGATE</v>
      </c>
      <c r="C338" s="1" t="s">
        <v>850</v>
      </c>
      <c r="D338" s="2">
        <f>_xlfn.XLOOKUP(A338,Sheet1!A:A,Sheet1!C:C,"")</f>
        <v>1497</v>
      </c>
      <c r="E338" s="2">
        <v>2299</v>
      </c>
      <c r="F338" s="1" t="s">
        <v>128</v>
      </c>
      <c r="G338" s="1" t="s">
        <v>1161</v>
      </c>
      <c r="J338" s="1" t="s">
        <v>751</v>
      </c>
      <c r="K338" s="1" t="s">
        <v>16</v>
      </c>
      <c r="L338" s="1" t="s">
        <v>28</v>
      </c>
      <c r="M338" s="1" t="s">
        <v>18</v>
      </c>
      <c r="N338" s="1" t="s">
        <v>17</v>
      </c>
      <c r="O338" s="1" t="s">
        <v>17</v>
      </c>
      <c r="P338" s="1" t="s">
        <v>20</v>
      </c>
    </row>
    <row r="339" spans="1:16" x14ac:dyDescent="0.35">
      <c r="A339" s="1">
        <v>51129178</v>
      </c>
      <c r="B339" s="1" t="str">
        <f>_xlfn.XLOOKUP(A339,Sheet1!A:A,Sheet1!D:D,"")</f>
        <v>BRIERWOOD</v>
      </c>
      <c r="C339" s="1" t="s">
        <v>851</v>
      </c>
      <c r="D339" s="2">
        <f>_xlfn.XLOOKUP(A339,Sheet1!A:A,Sheet1!C:C,"")</f>
        <v>1077</v>
      </c>
      <c r="E339" s="2">
        <v>1199</v>
      </c>
      <c r="F339" s="1" t="s">
        <v>134</v>
      </c>
      <c r="G339" s="1" t="s">
        <v>1161</v>
      </c>
      <c r="H339" s="1" t="s">
        <v>135</v>
      </c>
      <c r="I339" s="1" t="s">
        <v>14</v>
      </c>
      <c r="J339" s="1" t="s">
        <v>751</v>
      </c>
      <c r="K339" s="1" t="s">
        <v>39</v>
      </c>
      <c r="L339" s="1" t="s">
        <v>19</v>
      </c>
      <c r="M339" s="1" t="s">
        <v>18</v>
      </c>
      <c r="N339" s="1" t="s">
        <v>19</v>
      </c>
      <c r="O339" s="1" t="s">
        <v>19</v>
      </c>
      <c r="P339" s="1" t="s">
        <v>20</v>
      </c>
    </row>
    <row r="340" spans="1:16" x14ac:dyDescent="0.35">
      <c r="A340" s="1">
        <v>51129205</v>
      </c>
      <c r="B340" s="1" t="str">
        <f>_xlfn.XLOOKUP(A340,Sheet1!A:A,Sheet1!D:D,"")</f>
        <v>CASTLE ROCK</v>
      </c>
      <c r="C340" s="1" t="s">
        <v>853</v>
      </c>
      <c r="D340" s="2">
        <f>_xlfn.XLOOKUP(A340,Sheet1!A:A,Sheet1!C:C,"")</f>
        <v>1397</v>
      </c>
      <c r="E340" s="2">
        <v>1599</v>
      </c>
      <c r="F340" s="1" t="s">
        <v>132</v>
      </c>
      <c r="G340" s="1" t="s">
        <v>1161</v>
      </c>
      <c r="H340" s="1" t="s">
        <v>138</v>
      </c>
      <c r="I340" s="1" t="s">
        <v>14</v>
      </c>
      <c r="J340" s="1" t="s">
        <v>751</v>
      </c>
      <c r="L340" s="1" t="s">
        <v>17</v>
      </c>
      <c r="M340" s="1" t="s">
        <v>18</v>
      </c>
      <c r="N340" s="1" t="s">
        <v>17</v>
      </c>
      <c r="O340" s="1" t="s">
        <v>19</v>
      </c>
      <c r="P340" s="1" t="s">
        <v>20</v>
      </c>
    </row>
    <row r="341" spans="1:16" x14ac:dyDescent="0.35">
      <c r="A341" s="1">
        <v>51129217</v>
      </c>
      <c r="B341" s="1" t="str">
        <f>_xlfn.XLOOKUP(A341,Sheet1!A:A,Sheet1!D:D,"")</f>
        <v>PEBBLEBROOK</v>
      </c>
      <c r="C341" s="1" t="s">
        <v>854</v>
      </c>
      <c r="D341" s="2">
        <f>_xlfn.XLOOKUP(A341,Sheet1!A:A,Sheet1!C:C,"")</f>
        <v>1577</v>
      </c>
      <c r="E341" s="2">
        <v>1799</v>
      </c>
      <c r="F341" s="1" t="s">
        <v>140</v>
      </c>
      <c r="H341" s="1" t="s">
        <v>141</v>
      </c>
      <c r="I341" s="1" t="s">
        <v>14</v>
      </c>
      <c r="J341" s="1" t="s">
        <v>751</v>
      </c>
      <c r="K341" s="1" t="s">
        <v>39</v>
      </c>
      <c r="L341" s="1" t="s">
        <v>17</v>
      </c>
      <c r="M341" s="1" t="s">
        <v>18</v>
      </c>
      <c r="N341" s="1" t="s">
        <v>28</v>
      </c>
      <c r="O341" s="1" t="s">
        <v>17</v>
      </c>
      <c r="P341" s="1" t="s">
        <v>20</v>
      </c>
    </row>
    <row r="342" spans="1:16" x14ac:dyDescent="0.35">
      <c r="A342" s="1">
        <v>51137050</v>
      </c>
      <c r="B342" s="1" t="str">
        <f>_xlfn.XLOOKUP(A342,Sheet1!A:A,Sheet1!D:D,"")</f>
        <v>SERIES ONE EXTRA FIRM</v>
      </c>
      <c r="C342" s="1" t="s">
        <v>858</v>
      </c>
      <c r="D342" s="2">
        <f>_xlfn.XLOOKUP(A342,Sheet1!A:A,Sheet1!C:C,"")</f>
        <v>2599</v>
      </c>
      <c r="E342" s="2">
        <v>2599</v>
      </c>
      <c r="F342" s="1" t="s">
        <v>146</v>
      </c>
      <c r="H342" s="1" t="s">
        <v>859</v>
      </c>
      <c r="I342" s="1" t="s">
        <v>14</v>
      </c>
      <c r="J342" s="1" t="s">
        <v>751</v>
      </c>
      <c r="K342" s="1" t="s">
        <v>39</v>
      </c>
      <c r="L342" s="1" t="s">
        <v>17</v>
      </c>
      <c r="M342" s="1" t="s">
        <v>22</v>
      </c>
      <c r="N342" s="1" t="s">
        <v>32</v>
      </c>
      <c r="O342" s="1" t="s">
        <v>28</v>
      </c>
      <c r="P342" s="1" t="s">
        <v>98</v>
      </c>
    </row>
    <row r="343" spans="1:16" x14ac:dyDescent="0.35">
      <c r="A343" s="1">
        <v>51137137</v>
      </c>
      <c r="B343" s="1" t="str">
        <f>_xlfn.XLOOKUP(A343,Sheet1!A:A,Sheet1!D:D,"")</f>
        <v>SERIES TWO MEDIUM</v>
      </c>
      <c r="C343" s="1" t="s">
        <v>866</v>
      </c>
      <c r="D343" s="2">
        <f>_xlfn.XLOOKUP(A343,Sheet1!A:A,Sheet1!C:C,"")</f>
        <v>3599</v>
      </c>
      <c r="E343" s="2">
        <v>3599</v>
      </c>
      <c r="F343" s="1" t="s">
        <v>146</v>
      </c>
      <c r="H343" s="1" t="s">
        <v>395</v>
      </c>
      <c r="I343" s="1" t="s">
        <v>14</v>
      </c>
      <c r="J343" s="1" t="s">
        <v>751</v>
      </c>
      <c r="K343" s="1" t="s">
        <v>39</v>
      </c>
      <c r="L343" s="1" t="s">
        <v>28</v>
      </c>
      <c r="M343" s="1" t="s">
        <v>18</v>
      </c>
      <c r="N343" s="1" t="s">
        <v>32</v>
      </c>
      <c r="O343" s="1" t="s">
        <v>28</v>
      </c>
      <c r="P343" s="1" t="s">
        <v>20</v>
      </c>
    </row>
    <row r="344" spans="1:16" x14ac:dyDescent="0.35">
      <c r="A344" s="1">
        <v>51137226</v>
      </c>
      <c r="B344" s="1" t="str">
        <f>_xlfn.XLOOKUP(A344,Sheet1!A:A,Sheet1!D:D,"")</f>
        <v>SERIES THREE PLUSH PILLOW TOP</v>
      </c>
      <c r="C344" s="1" t="s">
        <v>875</v>
      </c>
      <c r="D344" s="2">
        <f>_xlfn.XLOOKUP(A344,Sheet1!A:A,Sheet1!C:C,"")</f>
        <v>4899</v>
      </c>
      <c r="E344" s="2">
        <v>4899</v>
      </c>
      <c r="F344" s="1" t="s">
        <v>146</v>
      </c>
      <c r="H344" s="1" t="s">
        <v>163</v>
      </c>
      <c r="I344" s="1" t="s">
        <v>14</v>
      </c>
      <c r="J344" s="1" t="s">
        <v>751</v>
      </c>
      <c r="K344" s="1" t="s">
        <v>39</v>
      </c>
      <c r="L344" s="1" t="s">
        <v>32</v>
      </c>
      <c r="M344" s="1" t="s">
        <v>31</v>
      </c>
      <c r="N344" s="1" t="s">
        <v>32</v>
      </c>
      <c r="O344" s="1" t="s">
        <v>28</v>
      </c>
      <c r="P344" s="1" t="s">
        <v>33</v>
      </c>
    </row>
    <row r="345" spans="1:16" x14ac:dyDescent="0.35">
      <c r="A345" s="1">
        <v>51148039</v>
      </c>
      <c r="B345" s="1" t="str">
        <f>_xlfn.XLOOKUP(A345,Sheet1!A:A,Sheet1!D:D,"")</f>
        <v>ESTATE FIRM TT</v>
      </c>
      <c r="C345" s="1" t="s">
        <v>889</v>
      </c>
      <c r="D345" s="2">
        <f>_xlfn.XLOOKUP(A345,Sheet1!A:A,Sheet1!C:C,"")</f>
        <v>2999</v>
      </c>
      <c r="E345" s="2">
        <v>2999</v>
      </c>
      <c r="F345" s="1" t="s">
        <v>178</v>
      </c>
      <c r="H345" s="1" t="s">
        <v>182</v>
      </c>
      <c r="I345" s="1" t="s">
        <v>14</v>
      </c>
      <c r="J345" s="1" t="s">
        <v>751</v>
      </c>
      <c r="K345" s="1" t="s">
        <v>39</v>
      </c>
      <c r="L345" s="1" t="s">
        <v>17</v>
      </c>
      <c r="M345" s="1" t="s">
        <v>22</v>
      </c>
      <c r="N345" s="1" t="s">
        <v>28</v>
      </c>
      <c r="O345" s="1" t="s">
        <v>17</v>
      </c>
      <c r="P345" s="1" t="s">
        <v>23</v>
      </c>
    </row>
    <row r="346" spans="1:16" x14ac:dyDescent="0.35">
      <c r="A346" s="1">
        <v>51148104</v>
      </c>
      <c r="B346" s="1" t="str">
        <f>_xlfn.XLOOKUP(A346,Sheet1!A:A,Sheet1!D:D,"")</f>
        <v>LUX ESTATE FIRM PT</v>
      </c>
      <c r="C346" s="1" t="s">
        <v>895</v>
      </c>
      <c r="D346" s="2">
        <f>_xlfn.XLOOKUP(A346,Sheet1!A:A,Sheet1!C:C,"")</f>
        <v>4099</v>
      </c>
      <c r="E346" s="2">
        <v>4099</v>
      </c>
      <c r="F346" s="1" t="s">
        <v>178</v>
      </c>
      <c r="H346" s="1" t="s">
        <v>188</v>
      </c>
      <c r="I346" s="1" t="s">
        <v>14</v>
      </c>
      <c r="J346" s="1" t="s">
        <v>751</v>
      </c>
      <c r="K346" s="1" t="s">
        <v>39</v>
      </c>
      <c r="L346" s="1" t="s">
        <v>28</v>
      </c>
      <c r="M346" s="1" t="s">
        <v>22</v>
      </c>
      <c r="N346" s="1" t="s">
        <v>32</v>
      </c>
      <c r="O346" s="1" t="s">
        <v>28</v>
      </c>
      <c r="P346" s="1" t="s">
        <v>23</v>
      </c>
    </row>
    <row r="347" spans="1:16" x14ac:dyDescent="0.35">
      <c r="A347" s="1">
        <v>51148279</v>
      </c>
      <c r="B347" s="1" t="str">
        <f>_xlfn.XLOOKUP(A347,Sheet1!A:A,Sheet1!D:D,"")</f>
        <v>LUX ESTATE ELITE</v>
      </c>
      <c r="C347" s="1" t="s">
        <v>903</v>
      </c>
      <c r="D347" s="2">
        <f>_xlfn.XLOOKUP(A347,Sheet1!A:A,Sheet1!C:C,"")</f>
        <v>4799</v>
      </c>
      <c r="E347" s="2">
        <v>4799</v>
      </c>
      <c r="F347" s="1" t="s">
        <v>178</v>
      </c>
      <c r="H347" s="1" t="s">
        <v>568</v>
      </c>
      <c r="I347" s="1" t="s">
        <v>14</v>
      </c>
      <c r="J347" s="1" t="s">
        <v>751</v>
      </c>
      <c r="K347" s="1" t="s">
        <v>39</v>
      </c>
      <c r="L347" s="1" t="s">
        <v>28</v>
      </c>
      <c r="M347" s="1" t="s">
        <v>18</v>
      </c>
      <c r="N347" s="1" t="s">
        <v>32</v>
      </c>
      <c r="O347" s="1" t="s">
        <v>28</v>
      </c>
      <c r="P347" s="1" t="s">
        <v>20</v>
      </c>
    </row>
    <row r="348" spans="1:16" x14ac:dyDescent="0.35">
      <c r="A348" s="1">
        <v>51170113</v>
      </c>
      <c r="B348" s="1" t="str">
        <f>_xlfn.XLOOKUP(A348,Sheet1!A:A,Sheet1!D:D,"")</f>
        <v>HELIX MIDNIGHT LUXE</v>
      </c>
      <c r="C348" s="1" t="s">
        <v>906</v>
      </c>
      <c r="D348" s="2">
        <f>_xlfn.XLOOKUP(A348,Sheet1!A:A,Sheet1!C:C,"")</f>
        <v>2538</v>
      </c>
      <c r="E348" s="2">
        <v>3172.5</v>
      </c>
      <c r="F348" s="1" t="s">
        <v>201</v>
      </c>
      <c r="I348" s="1" t="s">
        <v>14</v>
      </c>
      <c r="J348" s="1" t="s">
        <v>751</v>
      </c>
      <c r="K348" s="1" t="s">
        <v>39</v>
      </c>
      <c r="L348" s="1" t="s">
        <v>28</v>
      </c>
      <c r="M348" s="1" t="s">
        <v>18</v>
      </c>
      <c r="N348" s="1" t="s">
        <v>28</v>
      </c>
      <c r="O348" s="1" t="s">
        <v>17</v>
      </c>
      <c r="P348" s="1" t="s">
        <v>20</v>
      </c>
    </row>
    <row r="349" spans="1:16" x14ac:dyDescent="0.35">
      <c r="A349" s="1">
        <v>51170125</v>
      </c>
      <c r="B349" s="1" t="str">
        <f>_xlfn.XLOOKUP(A349,Sheet1!A:A,Sheet1!D:D,"")</f>
        <v>HELIX MIDNIGHT ELITE</v>
      </c>
      <c r="C349" s="1" t="s">
        <v>907</v>
      </c>
      <c r="D349" s="2">
        <f>_xlfn.XLOOKUP(A349,Sheet1!A:A,Sheet1!C:C,"")</f>
        <v>3599</v>
      </c>
      <c r="E349" s="2">
        <v>4498.75</v>
      </c>
      <c r="F349" s="1" t="s">
        <v>201</v>
      </c>
      <c r="I349" s="1" t="s">
        <v>14</v>
      </c>
      <c r="J349" s="1" t="s">
        <v>751</v>
      </c>
      <c r="K349" s="1" t="s">
        <v>39</v>
      </c>
      <c r="L349" s="1" t="s">
        <v>32</v>
      </c>
      <c r="M349" s="1" t="s">
        <v>18</v>
      </c>
      <c r="N349" s="1" t="s">
        <v>28</v>
      </c>
      <c r="O349" s="1" t="s">
        <v>28</v>
      </c>
      <c r="P349" s="1" t="s">
        <v>20</v>
      </c>
    </row>
    <row r="350" spans="1:16" x14ac:dyDescent="0.35">
      <c r="A350" s="1">
        <v>51300487</v>
      </c>
      <c r="B350" s="1" t="str">
        <f>_xlfn.XLOOKUP(A350,Sheet1!A:A,Sheet1!D:D,"")</f>
        <v>BASELOGIC SILVER</v>
      </c>
      <c r="C350" s="1" t="s">
        <v>913</v>
      </c>
      <c r="D350" s="2">
        <f>_xlfn.XLOOKUP(A350,Sheet1!A:A,Sheet1!C:C,"")</f>
        <v>649</v>
      </c>
      <c r="E350" s="2">
        <v>749</v>
      </c>
      <c r="F350" s="1" t="s">
        <v>433</v>
      </c>
      <c r="H350" s="1" t="s">
        <v>434</v>
      </c>
      <c r="I350" s="1" t="s">
        <v>14</v>
      </c>
      <c r="J350" s="1" t="s">
        <v>784</v>
      </c>
    </row>
    <row r="351" spans="1:16" x14ac:dyDescent="0.35">
      <c r="A351" s="1">
        <v>51300514</v>
      </c>
      <c r="B351" s="1" t="str">
        <f>_xlfn.XLOOKUP(A351,Sheet1!A:A,Sheet1!D:D,"")</f>
        <v>BASELOGIC PLATINUM</v>
      </c>
      <c r="C351" s="1" t="s">
        <v>914</v>
      </c>
      <c r="D351" s="2">
        <f>_xlfn.XLOOKUP(A351,Sheet1!A:A,Sheet1!C:C,"")</f>
        <v>1399</v>
      </c>
      <c r="E351" s="2">
        <v>1599</v>
      </c>
      <c r="F351" s="1" t="s">
        <v>433</v>
      </c>
      <c r="H351" s="1" t="s">
        <v>436</v>
      </c>
      <c r="I351" s="1" t="s">
        <v>14</v>
      </c>
      <c r="J351" s="1" t="s">
        <v>784</v>
      </c>
    </row>
    <row r="352" spans="1:16" x14ac:dyDescent="0.35">
      <c r="A352" s="1">
        <v>51307467</v>
      </c>
      <c r="B352" s="1" t="str">
        <f>_xlfn.XLOOKUP(A352,Sheet1!A:A,Sheet1!D:D,"")</f>
        <v>ADAPT 2.0 MEDIUM</v>
      </c>
      <c r="C352" s="1" t="s">
        <v>915</v>
      </c>
      <c r="D352" s="2">
        <f>_xlfn.XLOOKUP(A352,Sheet1!A:A,Sheet1!C:C,"")</f>
        <v>1699</v>
      </c>
      <c r="E352" s="2">
        <v>1699</v>
      </c>
      <c r="F352" s="1" t="s">
        <v>46</v>
      </c>
      <c r="H352" s="1" t="s">
        <v>47</v>
      </c>
      <c r="I352" s="1" t="s">
        <v>14</v>
      </c>
      <c r="J352" s="1" t="s">
        <v>784</v>
      </c>
      <c r="K352" s="1" t="s">
        <v>16</v>
      </c>
      <c r="L352" s="1" t="s">
        <v>28</v>
      </c>
      <c r="M352" s="1" t="s">
        <v>18</v>
      </c>
      <c r="N352" s="1" t="s">
        <v>28</v>
      </c>
      <c r="O352" s="1" t="s">
        <v>28</v>
      </c>
      <c r="P352" s="1" t="s">
        <v>20</v>
      </c>
    </row>
    <row r="353" spans="1:16" x14ac:dyDescent="0.35">
      <c r="A353" s="1">
        <v>51307479</v>
      </c>
      <c r="B353" s="1" t="str">
        <f>_xlfn.XLOOKUP(A353,Sheet1!A:A,Sheet1!D:D,"")</f>
        <v>ADAPT 2.0 MEDIUM HYBRID</v>
      </c>
      <c r="C353" s="1" t="s">
        <v>916</v>
      </c>
      <c r="D353" s="2">
        <f>_xlfn.XLOOKUP(A353,Sheet1!A:A,Sheet1!C:C,"")</f>
        <v>1999</v>
      </c>
      <c r="E353" s="2">
        <v>1999</v>
      </c>
      <c r="F353" s="1" t="s">
        <v>46</v>
      </c>
      <c r="H353" s="1" t="s">
        <v>49</v>
      </c>
      <c r="I353" s="1" t="s">
        <v>14</v>
      </c>
      <c r="J353" s="1" t="s">
        <v>784</v>
      </c>
      <c r="K353" s="1" t="s">
        <v>25</v>
      </c>
      <c r="L353" s="1" t="s">
        <v>28</v>
      </c>
      <c r="M353" s="1" t="s">
        <v>18</v>
      </c>
      <c r="N353" s="1" t="s">
        <v>28</v>
      </c>
      <c r="O353" s="1" t="s">
        <v>28</v>
      </c>
      <c r="P353" s="1" t="s">
        <v>20</v>
      </c>
    </row>
    <row r="354" spans="1:16" x14ac:dyDescent="0.35">
      <c r="A354" s="1">
        <v>51307481</v>
      </c>
      <c r="B354" s="1" t="str">
        <f>_xlfn.XLOOKUP(A354,Sheet1!A:A,Sheet1!D:D,"")</f>
        <v>PROADAPT 2.0 FIRM</v>
      </c>
      <c r="C354" s="1" t="s">
        <v>917</v>
      </c>
      <c r="D354" s="2">
        <f>_xlfn.XLOOKUP(A354,Sheet1!A:A,Sheet1!C:C,"")</f>
        <v>2899</v>
      </c>
      <c r="E354" s="2">
        <v>2899</v>
      </c>
      <c r="F354" s="1" t="s">
        <v>46</v>
      </c>
      <c r="H354" s="1" t="s">
        <v>51</v>
      </c>
      <c r="I354" s="1" t="s">
        <v>14</v>
      </c>
      <c r="J354" s="1" t="s">
        <v>784</v>
      </c>
      <c r="K354" s="1" t="s">
        <v>16</v>
      </c>
      <c r="L354" s="1" t="s">
        <v>28</v>
      </c>
      <c r="M354" s="1" t="s">
        <v>22</v>
      </c>
      <c r="N354" s="1" t="s">
        <v>32</v>
      </c>
      <c r="O354" s="1" t="s">
        <v>28</v>
      </c>
      <c r="P354" s="1" t="s">
        <v>23</v>
      </c>
    </row>
    <row r="355" spans="1:16" x14ac:dyDescent="0.35">
      <c r="A355" s="1">
        <v>51307518</v>
      </c>
      <c r="B355" s="1" t="str">
        <f>_xlfn.XLOOKUP(A355,Sheet1!A:A,Sheet1!D:D,"")</f>
        <v>PROBREEZE 2.0 MEDIUM HYBRID</v>
      </c>
      <c r="C355" s="1" t="s">
        <v>919</v>
      </c>
      <c r="D355" s="2">
        <f>_xlfn.XLOOKUP(A355,Sheet1!A:A,Sheet1!C:C,"")</f>
        <v>3899</v>
      </c>
      <c r="E355" s="2">
        <v>3899</v>
      </c>
      <c r="F355" s="1" t="s">
        <v>46</v>
      </c>
      <c r="H355" s="1" t="s">
        <v>54</v>
      </c>
      <c r="I355" s="1" t="s">
        <v>14</v>
      </c>
      <c r="J355" s="1" t="s">
        <v>784</v>
      </c>
      <c r="K355" s="1" t="s">
        <v>25</v>
      </c>
      <c r="L355" s="1" t="s">
        <v>28</v>
      </c>
      <c r="M355" s="1" t="s">
        <v>18</v>
      </c>
      <c r="N355" s="1" t="s">
        <v>32</v>
      </c>
      <c r="O355" s="1" t="s">
        <v>32</v>
      </c>
      <c r="P355" s="1" t="s">
        <v>20</v>
      </c>
    </row>
    <row r="356" spans="1:16" x14ac:dyDescent="0.35">
      <c r="A356" s="1">
        <v>51307520</v>
      </c>
      <c r="B356" s="1" t="str">
        <f>_xlfn.XLOOKUP(A356,Sheet1!A:A,Sheet1!D:D,"")</f>
        <v>PROADAPT 2.0 MEDIUM</v>
      </c>
      <c r="C356" s="1" t="s">
        <v>920</v>
      </c>
      <c r="D356" s="2">
        <f>_xlfn.XLOOKUP(A356,Sheet1!A:A,Sheet1!C:C,"")</f>
        <v>2899</v>
      </c>
      <c r="E356" s="2">
        <v>2899</v>
      </c>
      <c r="F356" s="1" t="s">
        <v>46</v>
      </c>
      <c r="H356" s="1" t="s">
        <v>51</v>
      </c>
      <c r="I356" s="1" t="s">
        <v>14</v>
      </c>
      <c r="J356" s="1" t="s">
        <v>784</v>
      </c>
      <c r="K356" s="1" t="s">
        <v>16</v>
      </c>
      <c r="L356" s="1" t="s">
        <v>28</v>
      </c>
      <c r="M356" s="1" t="s">
        <v>18</v>
      </c>
      <c r="N356" s="1" t="s">
        <v>32</v>
      </c>
      <c r="O356" s="1" t="s">
        <v>28</v>
      </c>
      <c r="P356" s="1" t="s">
        <v>20</v>
      </c>
    </row>
    <row r="357" spans="1:16" x14ac:dyDescent="0.35">
      <c r="A357" s="1">
        <v>51307532</v>
      </c>
      <c r="B357" s="1" t="str">
        <f>_xlfn.XLOOKUP(A357,Sheet1!A:A,Sheet1!D:D,"")</f>
        <v>PROADAPT 2.0 SOFT</v>
      </c>
      <c r="C357" s="1" t="s">
        <v>921</v>
      </c>
      <c r="D357" s="2">
        <f>_xlfn.XLOOKUP(A357,Sheet1!A:A,Sheet1!C:C,"")</f>
        <v>2899</v>
      </c>
      <c r="E357" s="2">
        <v>2899</v>
      </c>
      <c r="F357" s="1" t="s">
        <v>46</v>
      </c>
      <c r="H357" s="1" t="s">
        <v>57</v>
      </c>
      <c r="I357" s="1" t="s">
        <v>14</v>
      </c>
      <c r="J357" s="1" t="s">
        <v>784</v>
      </c>
      <c r="K357" s="1" t="s">
        <v>16</v>
      </c>
      <c r="L357" s="1" t="s">
        <v>32</v>
      </c>
      <c r="M357" s="1" t="s">
        <v>31</v>
      </c>
      <c r="N357" s="1" t="s">
        <v>32</v>
      </c>
      <c r="O357" s="1" t="s">
        <v>28</v>
      </c>
      <c r="P357" s="1" t="s">
        <v>33</v>
      </c>
    </row>
    <row r="358" spans="1:16" x14ac:dyDescent="0.35">
      <c r="A358" s="1">
        <v>51307556</v>
      </c>
      <c r="B358" s="1" t="str">
        <f>_xlfn.XLOOKUP(A358,Sheet1!A:A,Sheet1!D:D,"")</f>
        <v>PROADAPT 2.0 MEDIUM HYBRID</v>
      </c>
      <c r="C358" s="1" t="s">
        <v>922</v>
      </c>
      <c r="D358" s="2">
        <f>_xlfn.XLOOKUP(A358,Sheet1!A:A,Sheet1!C:C,"")</f>
        <v>2899</v>
      </c>
      <c r="E358" s="2">
        <v>2899</v>
      </c>
      <c r="F358" s="1" t="s">
        <v>46</v>
      </c>
      <c r="H358" s="1" t="s">
        <v>337</v>
      </c>
      <c r="I358" s="1" t="s">
        <v>14</v>
      </c>
      <c r="J358" s="1" t="s">
        <v>784</v>
      </c>
      <c r="K358" s="1" t="s">
        <v>25</v>
      </c>
      <c r="L358" s="1" t="s">
        <v>28</v>
      </c>
      <c r="M358" s="1" t="s">
        <v>18</v>
      </c>
      <c r="N358" s="1" t="s">
        <v>32</v>
      </c>
      <c r="O358" s="1" t="s">
        <v>28</v>
      </c>
      <c r="P358" s="1" t="s">
        <v>20</v>
      </c>
    </row>
    <row r="359" spans="1:16" x14ac:dyDescent="0.35">
      <c r="A359" s="1">
        <v>51307568</v>
      </c>
      <c r="B359" s="1" t="str">
        <f>_xlfn.XLOOKUP(A359,Sheet1!A:A,Sheet1!D:D,"")</f>
        <v>LUXEADAPT 2.0 SOFT</v>
      </c>
      <c r="C359" s="1" t="s">
        <v>923</v>
      </c>
      <c r="D359" s="2">
        <f>_xlfn.XLOOKUP(A359,Sheet1!A:A,Sheet1!C:C,"")</f>
        <v>4199</v>
      </c>
      <c r="E359" s="2">
        <v>4199</v>
      </c>
      <c r="F359" s="1" t="s">
        <v>46</v>
      </c>
      <c r="H359" s="1" t="s">
        <v>61</v>
      </c>
      <c r="I359" s="1" t="s">
        <v>14</v>
      </c>
      <c r="J359" s="1" t="s">
        <v>784</v>
      </c>
      <c r="K359" s="1" t="s">
        <v>16</v>
      </c>
      <c r="L359" s="1" t="s">
        <v>32</v>
      </c>
      <c r="M359" s="1" t="s">
        <v>31</v>
      </c>
      <c r="N359" s="1" t="s">
        <v>32</v>
      </c>
      <c r="O359" s="1" t="s">
        <v>28</v>
      </c>
      <c r="P359" s="1" t="s">
        <v>33</v>
      </c>
    </row>
    <row r="360" spans="1:16" x14ac:dyDescent="0.35">
      <c r="A360" s="1">
        <v>51307621</v>
      </c>
      <c r="B360" s="1" t="str">
        <f>_xlfn.XLOOKUP(A360,Sheet1!A:A,Sheet1!D:D,"")</f>
        <v>LUXEBREEZE 2.0 FIRM</v>
      </c>
      <c r="C360" s="1" t="s">
        <v>928</v>
      </c>
      <c r="D360" s="2">
        <f>_xlfn.XLOOKUP(A360,Sheet1!A:A,Sheet1!C:C,"")</f>
        <v>5199</v>
      </c>
      <c r="E360" s="2">
        <v>5199</v>
      </c>
      <c r="F360" s="1" t="s">
        <v>46</v>
      </c>
      <c r="H360" s="1" t="s">
        <v>68</v>
      </c>
      <c r="I360" s="1" t="s">
        <v>14</v>
      </c>
      <c r="J360" s="1" t="s">
        <v>784</v>
      </c>
      <c r="K360" s="1" t="s">
        <v>16</v>
      </c>
      <c r="L360" s="1" t="s">
        <v>32</v>
      </c>
      <c r="M360" s="1" t="s">
        <v>22</v>
      </c>
      <c r="N360" s="1" t="s">
        <v>32</v>
      </c>
      <c r="O360" s="1" t="s">
        <v>32</v>
      </c>
      <c r="P360" s="1" t="s">
        <v>23</v>
      </c>
    </row>
    <row r="361" spans="1:16" x14ac:dyDescent="0.35">
      <c r="A361" s="1">
        <v>51308166</v>
      </c>
      <c r="B361" s="1" t="str">
        <f>_xlfn.XLOOKUP(A361,Sheet1!A:A,Sheet1!D:D,"")</f>
        <v>TEMPUR-ERGO 3.0</v>
      </c>
      <c r="C361" s="1" t="s">
        <v>930</v>
      </c>
      <c r="D361" s="2">
        <f>_xlfn.XLOOKUP(A361,Sheet1!A:A,Sheet1!C:C,"")</f>
        <v>1599</v>
      </c>
      <c r="E361" s="2">
        <v>1599</v>
      </c>
      <c r="F361" s="1" t="s">
        <v>46</v>
      </c>
      <c r="H361" s="1" t="s">
        <v>439</v>
      </c>
      <c r="I361" s="1" t="s">
        <v>14</v>
      </c>
      <c r="J361" s="1" t="s">
        <v>784</v>
      </c>
    </row>
    <row r="362" spans="1:16" x14ac:dyDescent="0.35">
      <c r="A362" s="1">
        <v>51308180</v>
      </c>
      <c r="B362" s="1" t="str">
        <f>_xlfn.XLOOKUP(A362,Sheet1!A:A,Sheet1!D:D,"")</f>
        <v>TEMPUR-ERGO 3.0 SMART</v>
      </c>
      <c r="C362" s="1" t="s">
        <v>931</v>
      </c>
      <c r="D362" s="2">
        <f>_xlfn.XLOOKUP(A362,Sheet1!A:A,Sheet1!C:C,"")</f>
        <v>2099</v>
      </c>
      <c r="E362" s="2">
        <v>2099</v>
      </c>
      <c r="F362" s="1" t="s">
        <v>46</v>
      </c>
      <c r="H362" s="1" t="s">
        <v>441</v>
      </c>
      <c r="I362" s="1" t="s">
        <v>14</v>
      </c>
      <c r="J362" s="1" t="s">
        <v>784</v>
      </c>
    </row>
    <row r="363" spans="1:16" x14ac:dyDescent="0.35">
      <c r="A363" s="1">
        <v>51308192</v>
      </c>
      <c r="B363" s="1" t="str">
        <f>_xlfn.XLOOKUP(A363,Sheet1!A:A,Sheet1!D:D,"")</f>
        <v>TEMPUR-ERGO PROSMART</v>
      </c>
      <c r="C363" s="1" t="s">
        <v>932</v>
      </c>
      <c r="D363" s="2">
        <f>_xlfn.XLOOKUP(A363,Sheet1!A:A,Sheet1!C:C,"")</f>
        <v>2599</v>
      </c>
      <c r="E363" s="2">
        <v>2599</v>
      </c>
      <c r="F363" s="1" t="s">
        <v>46</v>
      </c>
      <c r="H363" s="1" t="s">
        <v>579</v>
      </c>
      <c r="I363" s="1" t="s">
        <v>14</v>
      </c>
      <c r="J363" s="1" t="s">
        <v>784</v>
      </c>
    </row>
    <row r="364" spans="1:16" x14ac:dyDescent="0.35">
      <c r="A364" s="1">
        <v>51318600</v>
      </c>
      <c r="B364" s="1" t="str">
        <f>_xlfn.XLOOKUP(A364,Sheet1!A:A,Sheet1!D:D,"")</f>
        <v>EASE 4.0</v>
      </c>
      <c r="C364" s="1" t="s">
        <v>936</v>
      </c>
      <c r="D364" s="2">
        <f>_xlfn.XLOOKUP(A364,Sheet1!A:A,Sheet1!C:C,"")</f>
        <v>899</v>
      </c>
      <c r="E364" s="2">
        <v>899</v>
      </c>
      <c r="H364" s="1" t="s">
        <v>310</v>
      </c>
      <c r="I364" s="1" t="s">
        <v>14</v>
      </c>
      <c r="J364" s="1" t="s">
        <v>784</v>
      </c>
    </row>
    <row r="365" spans="1:16" x14ac:dyDescent="0.35">
      <c r="A365" s="1">
        <v>51337054</v>
      </c>
      <c r="B365" s="1" t="str">
        <f>_xlfn.XLOOKUP(A365,Sheet1!A:A,Sheet1!D:D,"")</f>
        <v>SERIES ONE EXTRA FIRM</v>
      </c>
      <c r="C365" s="1" t="s">
        <v>937</v>
      </c>
      <c r="D365" s="2">
        <f>_xlfn.XLOOKUP(A365,Sheet1!A:A,Sheet1!C:C,"")</f>
        <v>1549</v>
      </c>
      <c r="E365" s="2">
        <v>1549</v>
      </c>
      <c r="F365" s="1" t="s">
        <v>146</v>
      </c>
      <c r="H365" s="1" t="s">
        <v>147</v>
      </c>
      <c r="I365" s="1" t="s">
        <v>14</v>
      </c>
      <c r="J365" s="1" t="s">
        <v>784</v>
      </c>
      <c r="K365" s="1" t="s">
        <v>39</v>
      </c>
      <c r="L365" s="1" t="s">
        <v>17</v>
      </c>
      <c r="M365" s="1" t="s">
        <v>22</v>
      </c>
      <c r="N365" s="1" t="s">
        <v>32</v>
      </c>
      <c r="O365" s="1" t="s">
        <v>28</v>
      </c>
      <c r="P365" s="1" t="s">
        <v>98</v>
      </c>
    </row>
    <row r="366" spans="1:16" x14ac:dyDescent="0.35">
      <c r="A366" s="1">
        <v>51337220</v>
      </c>
      <c r="B366" s="1" t="str">
        <f>_xlfn.XLOOKUP(A366,Sheet1!A:A,Sheet1!D:D,"")</f>
        <v>SERIES THREE PLUSH PILLOW TOP</v>
      </c>
      <c r="C366" s="1" t="s">
        <v>952</v>
      </c>
      <c r="D366" s="2">
        <f>_xlfn.XLOOKUP(A366,Sheet1!A:A,Sheet1!C:C,"")</f>
        <v>3649</v>
      </c>
      <c r="E366" s="2">
        <v>3649</v>
      </c>
      <c r="F366" s="1" t="s">
        <v>146</v>
      </c>
      <c r="H366" s="1" t="s">
        <v>163</v>
      </c>
      <c r="I366" s="1" t="s">
        <v>14</v>
      </c>
      <c r="J366" s="1" t="s">
        <v>784</v>
      </c>
      <c r="K366" s="1" t="s">
        <v>39</v>
      </c>
      <c r="L366" s="1" t="s">
        <v>32</v>
      </c>
      <c r="M366" s="1" t="s">
        <v>31</v>
      </c>
      <c r="N366" s="1" t="s">
        <v>32</v>
      </c>
      <c r="O366" s="1" t="s">
        <v>28</v>
      </c>
      <c r="P366" s="1" t="s">
        <v>33</v>
      </c>
    </row>
    <row r="367" spans="1:16" x14ac:dyDescent="0.35">
      <c r="A367" s="1">
        <v>51348033</v>
      </c>
      <c r="B367" s="1" t="str">
        <f>_xlfn.XLOOKUP(A367,Sheet1!A:A,Sheet1!D:D,"")</f>
        <v>ESTATE FIRM TT</v>
      </c>
      <c r="C367" s="1" t="s">
        <v>957</v>
      </c>
      <c r="D367" s="2">
        <f>_xlfn.XLOOKUP(A367,Sheet1!A:A,Sheet1!C:C,"")</f>
        <v>2099</v>
      </c>
      <c r="E367" s="2">
        <v>2299</v>
      </c>
      <c r="F367" s="1" t="s">
        <v>178</v>
      </c>
      <c r="J367" s="1" t="s">
        <v>784</v>
      </c>
      <c r="K367" s="1" t="s">
        <v>39</v>
      </c>
      <c r="L367" s="1" t="s">
        <v>28</v>
      </c>
      <c r="M367" s="1" t="s">
        <v>22</v>
      </c>
      <c r="N367" s="1" t="s">
        <v>17</v>
      </c>
      <c r="O367" s="1" t="s">
        <v>17</v>
      </c>
      <c r="P367" s="1" t="s">
        <v>23</v>
      </c>
    </row>
    <row r="368" spans="1:16" x14ac:dyDescent="0.35">
      <c r="A368" s="1">
        <v>51508160</v>
      </c>
      <c r="B368" s="1" t="str">
        <f>_xlfn.XLOOKUP(A368,Sheet1!A:A,Sheet1!D:D,"")</f>
        <v>TEMPUR-ERGO 3.0</v>
      </c>
      <c r="C368" s="1" t="s">
        <v>967</v>
      </c>
      <c r="D368" s="2">
        <f>_xlfn.XLOOKUP(A368,Sheet1!A:A,Sheet1!C:C,"")</f>
        <v>2399</v>
      </c>
      <c r="E368" s="2">
        <v>2399</v>
      </c>
      <c r="F368" s="1" t="s">
        <v>46</v>
      </c>
      <c r="H368" s="1" t="s">
        <v>439</v>
      </c>
      <c r="I368" s="1" t="s">
        <v>14</v>
      </c>
      <c r="J368" s="1" t="s">
        <v>751</v>
      </c>
    </row>
    <row r="369" spans="1:16" x14ac:dyDescent="0.35">
      <c r="A369" s="1">
        <v>51508184</v>
      </c>
      <c r="B369" s="1" t="str">
        <f>_xlfn.XLOOKUP(A369,Sheet1!A:A,Sheet1!D:D,"")</f>
        <v>TEMPUR-ERGO 3.0 SMART</v>
      </c>
      <c r="C369" s="1" t="s">
        <v>968</v>
      </c>
      <c r="D369" s="2">
        <f>_xlfn.XLOOKUP(A369,Sheet1!A:A,Sheet1!C:C,"")</f>
        <v>2899</v>
      </c>
      <c r="E369" s="2">
        <v>2899</v>
      </c>
      <c r="F369" s="1" t="s">
        <v>46</v>
      </c>
      <c r="H369" s="1" t="s">
        <v>441</v>
      </c>
      <c r="I369" s="1" t="s">
        <v>14</v>
      </c>
      <c r="J369" s="1" t="s">
        <v>751</v>
      </c>
    </row>
    <row r="370" spans="1:16" x14ac:dyDescent="0.35">
      <c r="A370" s="1">
        <v>51508196</v>
      </c>
      <c r="B370" s="1" t="str">
        <f>_xlfn.XLOOKUP(A370,Sheet1!A:A,Sheet1!D:D,"")</f>
        <v>TEMPUR-ERGO PROSMART</v>
      </c>
      <c r="C370" s="1" t="s">
        <v>969</v>
      </c>
      <c r="D370" s="2">
        <f>_xlfn.XLOOKUP(A370,Sheet1!A:A,Sheet1!C:C,"")</f>
        <v>3399</v>
      </c>
      <c r="E370" s="2">
        <v>3399</v>
      </c>
      <c r="F370" s="1" t="s">
        <v>46</v>
      </c>
      <c r="H370" s="1" t="s">
        <v>579</v>
      </c>
      <c r="I370" s="1" t="s">
        <v>14</v>
      </c>
      <c r="J370" s="1" t="s">
        <v>751</v>
      </c>
    </row>
    <row r="371" spans="1:16" x14ac:dyDescent="0.35">
      <c r="A371" s="1">
        <v>51518604</v>
      </c>
      <c r="B371" s="1" t="str">
        <f>_xlfn.XLOOKUP(A371,Sheet1!A:A,Sheet1!D:D,"")</f>
        <v>EASE 4.0</v>
      </c>
      <c r="C371" s="1" t="s">
        <v>971</v>
      </c>
      <c r="D371" s="2">
        <f>_xlfn.XLOOKUP(A371,Sheet1!A:A,Sheet1!C:C,"")</f>
        <v>1499</v>
      </c>
      <c r="E371" s="2">
        <v>1499</v>
      </c>
      <c r="F371" s="1" t="s">
        <v>443</v>
      </c>
      <c r="H371" s="1" t="s">
        <v>972</v>
      </c>
      <c r="I371" s="1" t="s">
        <v>14</v>
      </c>
      <c r="J371" s="1" t="s">
        <v>751</v>
      </c>
    </row>
    <row r="372" spans="1:16" x14ac:dyDescent="0.35">
      <c r="A372" s="1">
        <v>51707629</v>
      </c>
      <c r="B372" s="1" t="str">
        <f>_xlfn.XLOOKUP(A372,Sheet1!A:A,Sheet1!D:D,"")</f>
        <v>LUXEBREEZE 2.0 FIRM</v>
      </c>
      <c r="C372" s="1" t="s">
        <v>978</v>
      </c>
      <c r="D372" s="2">
        <f>_xlfn.XLOOKUP(A372,Sheet1!A:A,Sheet1!C:C,"")</f>
        <v>10398</v>
      </c>
      <c r="E372" s="2">
        <v>10398</v>
      </c>
      <c r="F372" s="1" t="s">
        <v>46</v>
      </c>
      <c r="I372" s="1" t="s">
        <v>14</v>
      </c>
      <c r="J372" s="1" t="s">
        <v>774</v>
      </c>
      <c r="K372" s="1" t="s">
        <v>16</v>
      </c>
      <c r="L372" s="1" t="s">
        <v>32</v>
      </c>
      <c r="M372" s="1" t="s">
        <v>22</v>
      </c>
      <c r="N372" s="1" t="s">
        <v>32</v>
      </c>
      <c r="O372" s="1" t="s">
        <v>32</v>
      </c>
      <c r="P372" s="1" t="s">
        <v>23</v>
      </c>
    </row>
    <row r="373" spans="1:16" x14ac:dyDescent="0.35">
      <c r="A373" s="1">
        <v>59900160</v>
      </c>
      <c r="B373" s="1" t="str">
        <f>_xlfn.XLOOKUP(A373,Sheet1!A:A,Sheet1!D:D,"")</f>
        <v>BEAUTYREST BLACK FOAM PILLOW</v>
      </c>
      <c r="C373" s="1" t="s">
        <v>982</v>
      </c>
      <c r="D373" s="2">
        <f>_xlfn.XLOOKUP(A373,Sheet1!A:A,Sheet1!C:C,"")</f>
        <v>199.99</v>
      </c>
      <c r="E373" s="2">
        <v>199.99</v>
      </c>
      <c r="F373" s="1" t="s">
        <v>146</v>
      </c>
      <c r="H373" s="1" t="s">
        <v>983</v>
      </c>
      <c r="I373" s="1" t="s">
        <v>14</v>
      </c>
    </row>
    <row r="374" spans="1:16" x14ac:dyDescent="0.35">
      <c r="A374" s="1">
        <v>59900172</v>
      </c>
      <c r="B374" s="1" t="str">
        <f>_xlfn.XLOOKUP(A374,Sheet1!A:A,Sheet1!D:D,"")</f>
        <v>BEAUTYREST BLACK FOAM PILLOW</v>
      </c>
      <c r="C374" s="1" t="s">
        <v>984</v>
      </c>
      <c r="D374" s="2">
        <f>_xlfn.XLOOKUP(A374,Sheet1!A:A,Sheet1!C:C,"")</f>
        <v>249.99</v>
      </c>
      <c r="E374" s="2">
        <v>249.99</v>
      </c>
      <c r="F374" s="1" t="s">
        <v>146</v>
      </c>
      <c r="H374" s="1" t="s">
        <v>983</v>
      </c>
      <c r="I374" s="1" t="s">
        <v>14</v>
      </c>
    </row>
    <row r="375" spans="1:16" x14ac:dyDescent="0.35">
      <c r="A375" s="1">
        <v>59905716</v>
      </c>
      <c r="B375" s="1" t="str">
        <f>_xlfn.XLOOKUP(A375,Sheet1!A:A,Sheet1!D:D,"")</f>
        <v>ASPEN PILLOW</v>
      </c>
      <c r="C375" s="1" t="s">
        <v>986</v>
      </c>
      <c r="D375" s="2">
        <f>_xlfn.XLOOKUP(A375,Sheet1!A:A,Sheet1!C:C,"")</f>
        <v>149.99</v>
      </c>
      <c r="E375" s="2">
        <v>149.99</v>
      </c>
      <c r="F375" s="1" t="s">
        <v>43</v>
      </c>
      <c r="I375" s="1" t="s">
        <v>14</v>
      </c>
      <c r="J375" s="1" t="s">
        <v>451</v>
      </c>
    </row>
    <row r="376" spans="1:16" x14ac:dyDescent="0.35">
      <c r="A376" s="1">
        <v>59905728</v>
      </c>
      <c r="B376" s="1" t="str">
        <f>_xlfn.XLOOKUP(A376,Sheet1!A:A,Sheet1!D:D,"")</f>
        <v>ASPEN PILLOW</v>
      </c>
      <c r="C376" s="1" t="s">
        <v>987</v>
      </c>
      <c r="D376" s="2">
        <f>_xlfn.XLOOKUP(A376,Sheet1!A:A,Sheet1!C:C,"")</f>
        <v>149.99</v>
      </c>
      <c r="E376" s="2">
        <v>149.99</v>
      </c>
      <c r="F376" s="1" t="s">
        <v>43</v>
      </c>
      <c r="I376" s="1" t="s">
        <v>14</v>
      </c>
      <c r="J376" s="1" t="s">
        <v>451</v>
      </c>
    </row>
    <row r="377" spans="1:16" x14ac:dyDescent="0.35">
      <c r="A377" s="1">
        <v>59905730</v>
      </c>
      <c r="B377" s="1" t="str">
        <f>_xlfn.XLOOKUP(A377,Sheet1!A:A,Sheet1!D:D,"")</f>
        <v>ASPEN PILLOW</v>
      </c>
      <c r="C377" s="1" t="s">
        <v>988</v>
      </c>
      <c r="D377" s="2">
        <f>_xlfn.XLOOKUP(A377,Sheet1!A:A,Sheet1!C:C,"")</f>
        <v>149.99</v>
      </c>
      <c r="E377" s="2">
        <v>149.99</v>
      </c>
      <c r="F377" s="1" t="s">
        <v>43</v>
      </c>
      <c r="I377" s="1" t="s">
        <v>14</v>
      </c>
      <c r="J377" s="1" t="s">
        <v>451</v>
      </c>
    </row>
    <row r="378" spans="1:16" x14ac:dyDescent="0.35">
      <c r="A378" s="1">
        <v>59905742</v>
      </c>
      <c r="B378" s="1" t="str">
        <f>_xlfn.XLOOKUP(A378,Sheet1!A:A,Sheet1!D:D,"")</f>
        <v>ASPEN PILLOW</v>
      </c>
      <c r="C378" s="1" t="s">
        <v>989</v>
      </c>
      <c r="D378" s="2">
        <f>_xlfn.XLOOKUP(A378,Sheet1!A:A,Sheet1!C:C,"")</f>
        <v>149.99</v>
      </c>
      <c r="E378" s="2">
        <v>149.99</v>
      </c>
      <c r="F378" s="1" t="s">
        <v>43</v>
      </c>
      <c r="I378" s="1" t="s">
        <v>14</v>
      </c>
      <c r="J378" s="1" t="s">
        <v>451</v>
      </c>
    </row>
    <row r="379" spans="1:16" x14ac:dyDescent="0.35">
      <c r="A379" s="1">
        <v>59905754</v>
      </c>
      <c r="B379" s="1" t="str">
        <f>_xlfn.XLOOKUP(A379,Sheet1!A:A,Sheet1!D:D,"")</f>
        <v>ASPEN PILLOW</v>
      </c>
      <c r="C379" s="1" t="s">
        <v>990</v>
      </c>
      <c r="D379" s="2">
        <f>_xlfn.XLOOKUP(A379,Sheet1!A:A,Sheet1!C:C,"")</f>
        <v>199.99</v>
      </c>
      <c r="E379" s="2">
        <v>199.99</v>
      </c>
      <c r="F379" s="1" t="s">
        <v>43</v>
      </c>
      <c r="I379" s="1" t="s">
        <v>14</v>
      </c>
      <c r="J379" s="1" t="s">
        <v>594</v>
      </c>
    </row>
    <row r="380" spans="1:16" x14ac:dyDescent="0.35">
      <c r="A380" s="1">
        <v>59905766</v>
      </c>
      <c r="B380" s="1" t="str">
        <f>_xlfn.XLOOKUP(A380,Sheet1!A:A,Sheet1!D:D,"")</f>
        <v>ASPEN PILLOW</v>
      </c>
      <c r="C380" s="1" t="s">
        <v>991</v>
      </c>
      <c r="D380" s="2">
        <f>_xlfn.XLOOKUP(A380,Sheet1!A:A,Sheet1!C:C,"")</f>
        <v>199.99</v>
      </c>
      <c r="E380" s="2">
        <v>199.99</v>
      </c>
      <c r="F380" s="1" t="s">
        <v>43</v>
      </c>
      <c r="I380" s="1" t="s">
        <v>14</v>
      </c>
      <c r="J380" s="1" t="s">
        <v>594</v>
      </c>
    </row>
    <row r="381" spans="1:16" x14ac:dyDescent="0.35">
      <c r="A381" s="1">
        <v>59905778</v>
      </c>
      <c r="B381" s="1" t="str">
        <f>_xlfn.XLOOKUP(A381,Sheet1!A:A,Sheet1!D:D,"")</f>
        <v>ASPEN PILLOW</v>
      </c>
      <c r="C381" s="1" t="s">
        <v>992</v>
      </c>
      <c r="D381" s="2">
        <f>_xlfn.XLOOKUP(A381,Sheet1!A:A,Sheet1!C:C,"")</f>
        <v>199.99</v>
      </c>
      <c r="E381" s="2">
        <v>199.99</v>
      </c>
      <c r="F381" s="1" t="s">
        <v>43</v>
      </c>
      <c r="I381" s="1" t="s">
        <v>14</v>
      </c>
      <c r="J381" s="1" t="s">
        <v>594</v>
      </c>
    </row>
    <row r="382" spans="1:16" x14ac:dyDescent="0.35">
      <c r="A382" s="1">
        <v>59905780</v>
      </c>
      <c r="B382" s="1" t="str">
        <f>_xlfn.XLOOKUP(A382,Sheet1!A:A,Sheet1!D:D,"")</f>
        <v>ASPEN PILLOW</v>
      </c>
      <c r="C382" s="1" t="s">
        <v>993</v>
      </c>
      <c r="D382" s="2">
        <f>_xlfn.XLOOKUP(A382,Sheet1!A:A,Sheet1!C:C,"")</f>
        <v>199.99</v>
      </c>
      <c r="E382" s="2">
        <v>199.99</v>
      </c>
      <c r="F382" s="1" t="s">
        <v>43</v>
      </c>
      <c r="I382" s="1" t="s">
        <v>14</v>
      </c>
      <c r="J382" s="1" t="s">
        <v>594</v>
      </c>
    </row>
    <row r="383" spans="1:16" x14ac:dyDescent="0.35">
      <c r="A383" s="1">
        <v>59906314</v>
      </c>
      <c r="B383" s="1" t="str">
        <f>_xlfn.XLOOKUP(A383,Sheet1!A:A,Sheet1!D:D,"")</f>
        <v>STORM PILLOW</v>
      </c>
      <c r="C383" s="1" t="s">
        <v>994</v>
      </c>
      <c r="D383" s="2">
        <f>_xlfn.XLOOKUP(A383,Sheet1!A:A,Sheet1!C:C,"")</f>
        <v>199.99</v>
      </c>
      <c r="E383" s="2">
        <v>199.99</v>
      </c>
      <c r="F383" s="1" t="s">
        <v>43</v>
      </c>
      <c r="H383" s="1" t="s">
        <v>995</v>
      </c>
      <c r="I383" s="1" t="s">
        <v>14</v>
      </c>
      <c r="J383" s="1" t="s">
        <v>451</v>
      </c>
    </row>
    <row r="384" spans="1:16" x14ac:dyDescent="0.35">
      <c r="A384" s="1">
        <v>59906326</v>
      </c>
      <c r="B384" s="1" t="str">
        <f>_xlfn.XLOOKUP(A384,Sheet1!A:A,Sheet1!D:D,"")</f>
        <v>STORM PILLOW</v>
      </c>
      <c r="C384" s="1" t="s">
        <v>996</v>
      </c>
      <c r="D384" s="2">
        <f>_xlfn.XLOOKUP(A384,Sheet1!A:A,Sheet1!C:C,"")</f>
        <v>199.99</v>
      </c>
      <c r="E384" s="2">
        <v>199.99</v>
      </c>
      <c r="F384" s="1" t="s">
        <v>43</v>
      </c>
      <c r="H384" s="1" t="s">
        <v>995</v>
      </c>
      <c r="I384" s="1" t="s">
        <v>14</v>
      </c>
      <c r="J384" s="1" t="s">
        <v>451</v>
      </c>
    </row>
    <row r="385" spans="1:10" x14ac:dyDescent="0.35">
      <c r="A385" s="1">
        <v>59906338</v>
      </c>
      <c r="B385" s="1" t="str">
        <f>_xlfn.XLOOKUP(A385,Sheet1!A:A,Sheet1!D:D,"")</f>
        <v>STORM PILLOW</v>
      </c>
      <c r="C385" s="1" t="s">
        <v>997</v>
      </c>
      <c r="D385" s="2">
        <f>_xlfn.XLOOKUP(A385,Sheet1!A:A,Sheet1!C:C,"")</f>
        <v>199.99</v>
      </c>
      <c r="E385" s="2">
        <v>199.99</v>
      </c>
      <c r="F385" s="1" t="s">
        <v>43</v>
      </c>
      <c r="H385" s="1" t="s">
        <v>995</v>
      </c>
      <c r="I385" s="1" t="s">
        <v>14</v>
      </c>
      <c r="J385" s="1" t="s">
        <v>451</v>
      </c>
    </row>
    <row r="386" spans="1:10" x14ac:dyDescent="0.35">
      <c r="A386" s="1">
        <v>59906340</v>
      </c>
      <c r="B386" s="1" t="str">
        <f>_xlfn.XLOOKUP(A386,Sheet1!A:A,Sheet1!D:D,"")</f>
        <v>STORM PILLOW</v>
      </c>
      <c r="C386" s="1" t="s">
        <v>998</v>
      </c>
      <c r="D386" s="2">
        <f>_xlfn.XLOOKUP(A386,Sheet1!A:A,Sheet1!C:C,"")</f>
        <v>199.99</v>
      </c>
      <c r="E386" s="2">
        <v>199.99</v>
      </c>
      <c r="F386" s="1" t="s">
        <v>43</v>
      </c>
      <c r="H386" s="1" t="s">
        <v>995</v>
      </c>
      <c r="I386" s="1" t="s">
        <v>14</v>
      </c>
      <c r="J386" s="1" t="s">
        <v>451</v>
      </c>
    </row>
    <row r="387" spans="1:10" x14ac:dyDescent="0.35">
      <c r="A387" s="1">
        <v>59906352</v>
      </c>
      <c r="B387" s="1" t="str">
        <f>_xlfn.XLOOKUP(A387,Sheet1!A:A,Sheet1!D:D,"")</f>
        <v>STORM PILLOW</v>
      </c>
      <c r="C387" s="1" t="s">
        <v>999</v>
      </c>
      <c r="D387" s="2">
        <f>_xlfn.XLOOKUP(A387,Sheet1!A:A,Sheet1!C:C,"")</f>
        <v>259.99</v>
      </c>
      <c r="E387" s="2">
        <v>259.99</v>
      </c>
      <c r="F387" s="1" t="s">
        <v>43</v>
      </c>
      <c r="H387" s="1" t="s">
        <v>1000</v>
      </c>
      <c r="I387" s="1" t="s">
        <v>14</v>
      </c>
      <c r="J387" s="1" t="s">
        <v>594</v>
      </c>
    </row>
    <row r="388" spans="1:10" x14ac:dyDescent="0.35">
      <c r="A388" s="1">
        <v>59906364</v>
      </c>
      <c r="B388" s="1" t="str">
        <f>_xlfn.XLOOKUP(A388,Sheet1!A:A,Sheet1!D:D,"")</f>
        <v>STORM PILLOW</v>
      </c>
      <c r="C388" s="1" t="s">
        <v>1001</v>
      </c>
      <c r="D388" s="2">
        <f>_xlfn.XLOOKUP(A388,Sheet1!A:A,Sheet1!C:C,"")</f>
        <v>259.99</v>
      </c>
      <c r="E388" s="2">
        <v>259.99</v>
      </c>
      <c r="F388" s="1" t="s">
        <v>43</v>
      </c>
      <c r="H388" s="1" t="s">
        <v>1000</v>
      </c>
      <c r="I388" s="1" t="s">
        <v>14</v>
      </c>
      <c r="J388" s="1" t="s">
        <v>594</v>
      </c>
    </row>
    <row r="389" spans="1:10" x14ac:dyDescent="0.35">
      <c r="A389" s="1">
        <v>59906376</v>
      </c>
      <c r="B389" s="1" t="str">
        <f>_xlfn.XLOOKUP(A389,Sheet1!A:A,Sheet1!D:D,"")</f>
        <v>STORM PILLOW</v>
      </c>
      <c r="C389" s="1" t="s">
        <v>1002</v>
      </c>
      <c r="D389" s="2">
        <f>_xlfn.XLOOKUP(A389,Sheet1!A:A,Sheet1!C:C,"")</f>
        <v>259.99</v>
      </c>
      <c r="E389" s="2">
        <v>259.99</v>
      </c>
      <c r="F389" s="1" t="s">
        <v>43</v>
      </c>
      <c r="H389" s="1" t="s">
        <v>1000</v>
      </c>
      <c r="I389" s="1" t="s">
        <v>14</v>
      </c>
      <c r="J389" s="1" t="s">
        <v>594</v>
      </c>
    </row>
    <row r="390" spans="1:10" x14ac:dyDescent="0.35">
      <c r="A390" s="1">
        <v>59906388</v>
      </c>
      <c r="B390" s="1" t="str">
        <f>_xlfn.XLOOKUP(A390,Sheet1!A:A,Sheet1!D:D,"")</f>
        <v>STORM PILLOW</v>
      </c>
      <c r="C390" s="1" t="s">
        <v>1003</v>
      </c>
      <c r="D390" s="2">
        <f>_xlfn.XLOOKUP(A390,Sheet1!A:A,Sheet1!C:C,"")</f>
        <v>259.99</v>
      </c>
      <c r="E390" s="2">
        <v>259.99</v>
      </c>
      <c r="F390" s="1" t="s">
        <v>43</v>
      </c>
      <c r="H390" s="1" t="s">
        <v>1000</v>
      </c>
      <c r="I390" s="1" t="s">
        <v>14</v>
      </c>
      <c r="J390" s="1" t="s">
        <v>594</v>
      </c>
    </row>
    <row r="391" spans="1:10" x14ac:dyDescent="0.35">
      <c r="A391" s="1">
        <v>59907102</v>
      </c>
      <c r="B391" s="1" t="str">
        <f>_xlfn.XLOOKUP(A391,Sheet1!A:A,Sheet1!D:D,"")</f>
        <v>NIGHT ICE PILLOW</v>
      </c>
      <c r="C391" s="1" t="s">
        <v>1004</v>
      </c>
      <c r="D391" s="2">
        <f>_xlfn.XLOOKUP(A391,Sheet1!A:A,Sheet1!C:C,"")</f>
        <v>299.99</v>
      </c>
      <c r="E391" s="2">
        <v>299.99</v>
      </c>
      <c r="F391" s="1" t="s">
        <v>43</v>
      </c>
      <c r="I391" s="1" t="s">
        <v>14</v>
      </c>
      <c r="J391" s="1" t="s">
        <v>451</v>
      </c>
    </row>
    <row r="392" spans="1:10" x14ac:dyDescent="0.35">
      <c r="A392" s="1">
        <v>59907114</v>
      </c>
      <c r="B392" s="1" t="str">
        <f>_xlfn.XLOOKUP(A392,Sheet1!A:A,Sheet1!D:D,"")</f>
        <v>NIGHT ICE PILLOW</v>
      </c>
      <c r="C392" s="1" t="s">
        <v>1005</v>
      </c>
      <c r="D392" s="2">
        <f>_xlfn.XLOOKUP(A392,Sheet1!A:A,Sheet1!C:C,"")</f>
        <v>299.99</v>
      </c>
      <c r="E392" s="2">
        <v>299.99</v>
      </c>
      <c r="F392" s="1" t="s">
        <v>43</v>
      </c>
      <c r="I392" s="1" t="s">
        <v>14</v>
      </c>
      <c r="J392" s="1" t="s">
        <v>451</v>
      </c>
    </row>
    <row r="393" spans="1:10" x14ac:dyDescent="0.35">
      <c r="A393" s="1">
        <v>59907126</v>
      </c>
      <c r="B393" s="1" t="str">
        <f>_xlfn.XLOOKUP(A393,Sheet1!A:A,Sheet1!D:D,"")</f>
        <v>NIGHT ICE PILLOW</v>
      </c>
      <c r="C393" s="1" t="s">
        <v>1006</v>
      </c>
      <c r="D393" s="2">
        <f>_xlfn.XLOOKUP(A393,Sheet1!A:A,Sheet1!C:C,"")</f>
        <v>299.99</v>
      </c>
      <c r="E393" s="2">
        <v>299.99</v>
      </c>
      <c r="F393" s="1" t="s">
        <v>43</v>
      </c>
      <c r="I393" s="1" t="s">
        <v>14</v>
      </c>
      <c r="J393" s="1" t="s">
        <v>451</v>
      </c>
    </row>
    <row r="394" spans="1:10" x14ac:dyDescent="0.35">
      <c r="A394" s="1">
        <v>59907138</v>
      </c>
      <c r="B394" s="1" t="str">
        <f>_xlfn.XLOOKUP(A394,Sheet1!A:A,Sheet1!D:D,"")</f>
        <v>NIGHT ICE PILLOW</v>
      </c>
      <c r="C394" s="1" t="s">
        <v>1007</v>
      </c>
      <c r="D394" s="2">
        <f>_xlfn.XLOOKUP(A394,Sheet1!A:A,Sheet1!C:C,"")</f>
        <v>299.99</v>
      </c>
      <c r="E394" s="2">
        <v>299.99</v>
      </c>
      <c r="F394" s="1" t="s">
        <v>43</v>
      </c>
      <c r="I394" s="1" t="s">
        <v>14</v>
      </c>
      <c r="J394" s="1" t="s">
        <v>451</v>
      </c>
    </row>
    <row r="395" spans="1:10" x14ac:dyDescent="0.35">
      <c r="A395" s="1">
        <v>59907140</v>
      </c>
      <c r="B395" s="1" t="str">
        <f>_xlfn.XLOOKUP(A395,Sheet1!A:A,Sheet1!D:D,"")</f>
        <v>NIGHT ICE PILLOW</v>
      </c>
      <c r="C395" s="1" t="s">
        <v>1008</v>
      </c>
      <c r="D395" s="2">
        <f>_xlfn.XLOOKUP(A395,Sheet1!A:A,Sheet1!C:C,"")</f>
        <v>349.99</v>
      </c>
      <c r="E395" s="2">
        <v>349.99</v>
      </c>
      <c r="F395" s="1" t="s">
        <v>43</v>
      </c>
      <c r="I395" s="1" t="s">
        <v>14</v>
      </c>
      <c r="J395" s="1" t="s">
        <v>594</v>
      </c>
    </row>
    <row r="396" spans="1:10" x14ac:dyDescent="0.35">
      <c r="A396" s="1">
        <v>59907152</v>
      </c>
      <c r="B396" s="1" t="str">
        <f>_xlfn.XLOOKUP(A396,Sheet1!A:A,Sheet1!D:D,"")</f>
        <v>NIGHT ICE PILLOW</v>
      </c>
      <c r="C396" s="1" t="s">
        <v>1009</v>
      </c>
      <c r="D396" s="2">
        <f>_xlfn.XLOOKUP(A396,Sheet1!A:A,Sheet1!C:C,"")</f>
        <v>349.99</v>
      </c>
      <c r="E396" s="2">
        <v>349.99</v>
      </c>
      <c r="F396" s="1" t="s">
        <v>43</v>
      </c>
      <c r="I396" s="1" t="s">
        <v>14</v>
      </c>
      <c r="J396" s="1" t="s">
        <v>594</v>
      </c>
    </row>
    <row r="397" spans="1:10" x14ac:dyDescent="0.35">
      <c r="A397" s="1">
        <v>59907164</v>
      </c>
      <c r="B397" s="1" t="str">
        <f>_xlfn.XLOOKUP(A397,Sheet1!A:A,Sheet1!D:D,"")</f>
        <v>NIGHT ICE PILLOW</v>
      </c>
      <c r="C397" s="1" t="s">
        <v>1010</v>
      </c>
      <c r="D397" s="2">
        <f>_xlfn.XLOOKUP(A397,Sheet1!A:A,Sheet1!C:C,"")</f>
        <v>349.99</v>
      </c>
      <c r="E397" s="2">
        <v>349.99</v>
      </c>
      <c r="F397" s="1" t="s">
        <v>43</v>
      </c>
      <c r="I397" s="1" t="s">
        <v>14</v>
      </c>
      <c r="J397" s="1" t="s">
        <v>594</v>
      </c>
    </row>
    <row r="398" spans="1:10" x14ac:dyDescent="0.35">
      <c r="A398" s="1">
        <v>59907176</v>
      </c>
      <c r="B398" s="1" t="str">
        <f>_xlfn.XLOOKUP(A398,Sheet1!A:A,Sheet1!D:D,"")</f>
        <v>NIGHT ICE PILLOW</v>
      </c>
      <c r="C398" s="1" t="s">
        <v>1011</v>
      </c>
      <c r="D398" s="2">
        <f>_xlfn.XLOOKUP(A398,Sheet1!A:A,Sheet1!C:C,"")</f>
        <v>349.99</v>
      </c>
      <c r="E398" s="2">
        <v>349.99</v>
      </c>
      <c r="F398" s="1" t="s">
        <v>43</v>
      </c>
      <c r="I398" s="1" t="s">
        <v>14</v>
      </c>
      <c r="J398" s="1" t="s">
        <v>594</v>
      </c>
    </row>
    <row r="399" spans="1:10" x14ac:dyDescent="0.35">
      <c r="A399" s="1">
        <v>59911036</v>
      </c>
      <c r="B399" s="1" t="str">
        <f>_xlfn.XLOOKUP(A399,Sheet1!A:A,Sheet1!D:D,"")</f>
        <v>DRI-TEC SHEETS</v>
      </c>
      <c r="C399" s="1" t="s">
        <v>1019</v>
      </c>
      <c r="D399" s="2">
        <f>_xlfn.XLOOKUP(A399,Sheet1!A:A,Sheet1!C:C,"")</f>
        <v>229.99</v>
      </c>
      <c r="E399" s="2">
        <v>229.99</v>
      </c>
      <c r="F399" s="1" t="s">
        <v>43</v>
      </c>
      <c r="H399" s="1" t="s">
        <v>1020</v>
      </c>
      <c r="J399" s="1" t="s">
        <v>317</v>
      </c>
    </row>
    <row r="400" spans="1:10" x14ac:dyDescent="0.35">
      <c r="A400" s="1">
        <v>59911048</v>
      </c>
      <c r="B400" s="1" t="str">
        <f>_xlfn.XLOOKUP(A400,Sheet1!A:A,Sheet1!D:D,"")</f>
        <v>DRI-TEC SHEETS</v>
      </c>
      <c r="C400" s="1" t="s">
        <v>1021</v>
      </c>
      <c r="D400" s="2">
        <f>_xlfn.XLOOKUP(A400,Sheet1!A:A,Sheet1!C:C,"")</f>
        <v>229.99</v>
      </c>
      <c r="E400" s="2">
        <v>229.99</v>
      </c>
      <c r="F400" s="1" t="s">
        <v>43</v>
      </c>
      <c r="H400" s="1" t="s">
        <v>1022</v>
      </c>
      <c r="J400" s="1" t="s">
        <v>451</v>
      </c>
    </row>
    <row r="401" spans="1:10" x14ac:dyDescent="0.35">
      <c r="A401" s="1">
        <v>59911101</v>
      </c>
      <c r="B401" s="1" t="str">
        <f>_xlfn.XLOOKUP(A401,Sheet1!A:A,Sheet1!D:D,"")</f>
        <v>DRI-TEC SHEETS</v>
      </c>
      <c r="C401" s="1" t="s">
        <v>1023</v>
      </c>
      <c r="D401" s="2">
        <f>_xlfn.XLOOKUP(A401,Sheet1!A:A,Sheet1!C:C,"")</f>
        <v>199.99</v>
      </c>
      <c r="E401" s="2">
        <v>199.99</v>
      </c>
      <c r="F401" s="1" t="s">
        <v>43</v>
      </c>
      <c r="H401" s="1" t="s">
        <v>1024</v>
      </c>
      <c r="J401" s="1" t="s">
        <v>1025</v>
      </c>
    </row>
    <row r="402" spans="1:10" x14ac:dyDescent="0.35">
      <c r="A402" s="1">
        <v>59911113</v>
      </c>
      <c r="B402" s="1" t="str">
        <f>_xlfn.XLOOKUP(A402,Sheet1!A:A,Sheet1!D:D,"")</f>
        <v>DRI-TEC SHEETS</v>
      </c>
      <c r="C402" s="1" t="s">
        <v>1026</v>
      </c>
      <c r="D402" s="2">
        <f>_xlfn.XLOOKUP(A402,Sheet1!A:A,Sheet1!C:C,"")</f>
        <v>279.99</v>
      </c>
      <c r="E402" s="2">
        <v>279.99</v>
      </c>
      <c r="F402" s="1" t="s">
        <v>43</v>
      </c>
      <c r="H402" s="1" t="s">
        <v>1027</v>
      </c>
      <c r="J402" s="1" t="s">
        <v>1028</v>
      </c>
    </row>
    <row r="403" spans="1:10" x14ac:dyDescent="0.35">
      <c r="A403" s="1">
        <v>59911125</v>
      </c>
      <c r="B403" s="1" t="str">
        <f>_xlfn.XLOOKUP(A403,Sheet1!A:A,Sheet1!D:D,"")</f>
        <v>DRI-TEC SHEETS</v>
      </c>
      <c r="C403" s="1" t="s">
        <v>1029</v>
      </c>
      <c r="D403" s="2">
        <f>_xlfn.XLOOKUP(A403,Sheet1!A:A,Sheet1!C:C,"")</f>
        <v>279.99</v>
      </c>
      <c r="E403" s="2">
        <v>279.99</v>
      </c>
      <c r="F403" s="1" t="s">
        <v>43</v>
      </c>
      <c r="H403" s="1" t="s">
        <v>1030</v>
      </c>
      <c r="J403" s="1" t="s">
        <v>1031</v>
      </c>
    </row>
    <row r="404" spans="1:10" x14ac:dyDescent="0.35">
      <c r="A404" s="1">
        <v>59912103</v>
      </c>
      <c r="B404" s="1" t="str">
        <f>_xlfn.XLOOKUP(A404,Sheet1!A:A,Sheet1!D:D,"")</f>
        <v>DRI-TEC SHEETS</v>
      </c>
      <c r="C404" s="1" t="s">
        <v>1023</v>
      </c>
      <c r="D404" s="2">
        <f>_xlfn.XLOOKUP(A404,Sheet1!A:A,Sheet1!C:C,"")</f>
        <v>199.99</v>
      </c>
      <c r="E404" s="2">
        <v>199.99</v>
      </c>
      <c r="F404" s="1" t="s">
        <v>43</v>
      </c>
      <c r="H404" s="1" t="s">
        <v>1032</v>
      </c>
      <c r="J404" s="1" t="s">
        <v>1025</v>
      </c>
    </row>
    <row r="405" spans="1:10" x14ac:dyDescent="0.35">
      <c r="A405" s="1">
        <v>59912115</v>
      </c>
      <c r="B405" s="1" t="str">
        <f>_xlfn.XLOOKUP(A405,Sheet1!A:A,Sheet1!D:D,"")</f>
        <v>DRI-TEC SHEETS</v>
      </c>
      <c r="C405" s="1" t="s">
        <v>1019</v>
      </c>
      <c r="D405" s="2">
        <f>_xlfn.XLOOKUP(A405,Sheet1!A:A,Sheet1!C:C,"")</f>
        <v>229.99</v>
      </c>
      <c r="E405" s="2">
        <v>229.99</v>
      </c>
      <c r="F405" s="1" t="s">
        <v>43</v>
      </c>
      <c r="H405" s="1" t="s">
        <v>1033</v>
      </c>
      <c r="J405" s="1" t="s">
        <v>317</v>
      </c>
    </row>
    <row r="406" spans="1:10" x14ac:dyDescent="0.35">
      <c r="A406" s="1">
        <v>59912139</v>
      </c>
      <c r="B406" s="1" t="str">
        <f>_xlfn.XLOOKUP(A406,Sheet1!A:A,Sheet1!D:D,"")</f>
        <v>DRI-TEC SHEETS</v>
      </c>
      <c r="C406" s="1" t="s">
        <v>1021</v>
      </c>
      <c r="D406" s="2">
        <f>_xlfn.XLOOKUP(A406,Sheet1!A:A,Sheet1!C:C,"")</f>
        <v>229.99</v>
      </c>
      <c r="E406" s="2">
        <v>229.99</v>
      </c>
      <c r="F406" s="1" t="s">
        <v>43</v>
      </c>
      <c r="H406" s="1" t="s">
        <v>1033</v>
      </c>
      <c r="J406" s="1" t="s">
        <v>451</v>
      </c>
    </row>
    <row r="407" spans="1:10" x14ac:dyDescent="0.35">
      <c r="A407" s="1">
        <v>59912153</v>
      </c>
      <c r="B407" s="1" t="str">
        <f>_xlfn.XLOOKUP(A407,Sheet1!A:A,Sheet1!D:D,"")</f>
        <v>DRI-TEC SHEETS</v>
      </c>
      <c r="C407" s="1" t="s">
        <v>1026</v>
      </c>
      <c r="D407" s="2">
        <f>_xlfn.XLOOKUP(A407,Sheet1!A:A,Sheet1!C:C,"")</f>
        <v>249.99</v>
      </c>
      <c r="E407" s="2">
        <v>249.99</v>
      </c>
      <c r="F407" s="1" t="s">
        <v>43</v>
      </c>
      <c r="H407" s="1" t="s">
        <v>1033</v>
      </c>
      <c r="J407" s="1" t="s">
        <v>1028</v>
      </c>
    </row>
    <row r="408" spans="1:10" x14ac:dyDescent="0.35">
      <c r="A408" s="1">
        <v>59912165</v>
      </c>
      <c r="B408" s="1" t="str">
        <f>_xlfn.XLOOKUP(A408,Sheet1!A:A,Sheet1!D:D,"")</f>
        <v>DRI-TEC SHEETS</v>
      </c>
      <c r="C408" s="1" t="s">
        <v>1029</v>
      </c>
      <c r="D408" s="2">
        <f>_xlfn.XLOOKUP(A408,Sheet1!A:A,Sheet1!C:C,"")</f>
        <v>279.99</v>
      </c>
      <c r="E408" s="2">
        <v>279.99</v>
      </c>
      <c r="F408" s="1" t="s">
        <v>43</v>
      </c>
      <c r="H408" s="1" t="s">
        <v>1033</v>
      </c>
      <c r="J408" s="1" t="s">
        <v>1031</v>
      </c>
    </row>
    <row r="409" spans="1:10" x14ac:dyDescent="0.35">
      <c r="A409" s="1">
        <v>59913028</v>
      </c>
      <c r="B409" s="1" t="str">
        <f>_xlfn.XLOOKUP(A409,Sheet1!A:A,Sheet1!D:D,"")</f>
        <v>DRI-TEC SHEETS</v>
      </c>
      <c r="C409" s="1" t="s">
        <v>1019</v>
      </c>
      <c r="D409" s="2">
        <f>_xlfn.XLOOKUP(A409,Sheet1!A:A,Sheet1!C:C,"")</f>
        <v>229.99</v>
      </c>
      <c r="E409" s="2">
        <v>229.99</v>
      </c>
      <c r="F409" s="1" t="s">
        <v>43</v>
      </c>
      <c r="H409" s="1" t="s">
        <v>1034</v>
      </c>
      <c r="J409" s="1" t="s">
        <v>317</v>
      </c>
    </row>
    <row r="410" spans="1:10" x14ac:dyDescent="0.35">
      <c r="A410" s="1">
        <v>59913030</v>
      </c>
      <c r="B410" s="1" t="str">
        <f>_xlfn.XLOOKUP(A410,Sheet1!A:A,Sheet1!D:D,"")</f>
        <v>DRI-TEC SHEETS</v>
      </c>
      <c r="C410" s="1" t="s">
        <v>1021</v>
      </c>
      <c r="D410" s="2">
        <f>_xlfn.XLOOKUP(A410,Sheet1!A:A,Sheet1!C:C,"")</f>
        <v>229.99</v>
      </c>
      <c r="E410" s="2">
        <v>229.99</v>
      </c>
      <c r="F410" s="1" t="s">
        <v>43</v>
      </c>
      <c r="H410" s="1" t="s">
        <v>1035</v>
      </c>
      <c r="J410" s="1" t="s">
        <v>451</v>
      </c>
    </row>
    <row r="411" spans="1:10" x14ac:dyDescent="0.35">
      <c r="A411" s="1">
        <v>59913080</v>
      </c>
      <c r="B411" s="1" t="str">
        <f>_xlfn.XLOOKUP(A411,Sheet1!A:A,Sheet1!D:D,"")</f>
        <v>BG BASIC SHEETS</v>
      </c>
      <c r="C411" s="1" t="s">
        <v>1036</v>
      </c>
      <c r="D411" s="2">
        <f>_xlfn.XLOOKUP(A411,Sheet1!A:A,Sheet1!C:C,"")</f>
        <v>59.99</v>
      </c>
      <c r="E411" s="2">
        <v>59.99</v>
      </c>
      <c r="F411" s="1" t="s">
        <v>43</v>
      </c>
      <c r="H411" s="1" t="s">
        <v>1037</v>
      </c>
      <c r="J411" s="1" t="s">
        <v>74</v>
      </c>
    </row>
    <row r="412" spans="1:10" x14ac:dyDescent="0.35">
      <c r="A412" s="1">
        <v>59913092</v>
      </c>
      <c r="B412" s="1" t="str">
        <f>_xlfn.XLOOKUP(A412,Sheet1!A:A,Sheet1!D:D,"")</f>
        <v>BG BASIC SHEETS</v>
      </c>
      <c r="C412" s="1" t="s">
        <v>1038</v>
      </c>
      <c r="D412" s="2">
        <f>_xlfn.XLOOKUP(A412,Sheet1!A:A,Sheet1!C:C,"")</f>
        <v>64.989999999999995</v>
      </c>
      <c r="E412" s="2">
        <v>64.989999999999995</v>
      </c>
      <c r="F412" s="1" t="s">
        <v>43</v>
      </c>
      <c r="H412" s="1" t="s">
        <v>1039</v>
      </c>
      <c r="J412" s="1" t="s">
        <v>15</v>
      </c>
    </row>
    <row r="413" spans="1:10" x14ac:dyDescent="0.35">
      <c r="A413" s="1">
        <v>59913105</v>
      </c>
      <c r="B413" s="1" t="str">
        <f>_xlfn.XLOOKUP(A413,Sheet1!A:A,Sheet1!D:D,"")</f>
        <v>DRI-TEC SHEETS</v>
      </c>
      <c r="C413" s="1" t="s">
        <v>1040</v>
      </c>
      <c r="D413" s="2">
        <f>_xlfn.XLOOKUP(A413,Sheet1!A:A,Sheet1!C:C,"")</f>
        <v>199.99</v>
      </c>
      <c r="E413" s="2">
        <v>199.99</v>
      </c>
      <c r="F413" s="1" t="s">
        <v>43</v>
      </c>
      <c r="H413" s="1" t="s">
        <v>1041</v>
      </c>
      <c r="J413" s="1" t="s">
        <v>1025</v>
      </c>
    </row>
    <row r="414" spans="1:10" x14ac:dyDescent="0.35">
      <c r="A414" s="1">
        <v>59913117</v>
      </c>
      <c r="B414" s="1" t="str">
        <f>_xlfn.XLOOKUP(A414,Sheet1!A:A,Sheet1!D:D,"")</f>
        <v>DRI-TEC SHEETS</v>
      </c>
      <c r="C414" s="1" t="s">
        <v>1042</v>
      </c>
      <c r="D414" s="2">
        <f>_xlfn.XLOOKUP(A414,Sheet1!A:A,Sheet1!C:C,"")</f>
        <v>279.99</v>
      </c>
      <c r="E414" s="2">
        <v>279.99</v>
      </c>
      <c r="F414" s="1" t="s">
        <v>43</v>
      </c>
      <c r="H414" s="1" t="s">
        <v>1043</v>
      </c>
      <c r="J414" s="1" t="s">
        <v>1028</v>
      </c>
    </row>
    <row r="415" spans="1:10" x14ac:dyDescent="0.35">
      <c r="A415" s="1">
        <v>59913129</v>
      </c>
      <c r="B415" s="1" t="str">
        <f>_xlfn.XLOOKUP(A415,Sheet1!A:A,Sheet1!D:D,"")</f>
        <v>DRI-TEC SHEETS</v>
      </c>
      <c r="C415" s="1" t="s">
        <v>1044</v>
      </c>
      <c r="D415" s="2">
        <f>_xlfn.XLOOKUP(A415,Sheet1!A:A,Sheet1!C:C,"")</f>
        <v>279.99</v>
      </c>
      <c r="E415" s="2">
        <v>279.99</v>
      </c>
      <c r="F415" s="1" t="s">
        <v>43</v>
      </c>
      <c r="H415" s="1" t="s">
        <v>1045</v>
      </c>
      <c r="J415" s="1" t="s">
        <v>1031</v>
      </c>
    </row>
    <row r="416" spans="1:10" x14ac:dyDescent="0.35">
      <c r="A416" s="1">
        <v>59913206</v>
      </c>
      <c r="B416" s="1" t="str">
        <f>_xlfn.XLOOKUP(A416,Sheet1!A:A,Sheet1!D:D,"")</f>
        <v>HYPER-COTTON SHEETS</v>
      </c>
      <c r="C416" s="1" t="s">
        <v>1046</v>
      </c>
      <c r="D416" s="2">
        <f>_xlfn.XLOOKUP(A416,Sheet1!A:A,Sheet1!C:C,"")</f>
        <v>149.99</v>
      </c>
      <c r="E416" s="2">
        <v>149.99</v>
      </c>
      <c r="F416" s="1" t="s">
        <v>43</v>
      </c>
      <c r="H416" s="1" t="s">
        <v>1047</v>
      </c>
      <c r="J416" s="1" t="s">
        <v>74</v>
      </c>
    </row>
    <row r="417" spans="1:10" x14ac:dyDescent="0.35">
      <c r="A417" s="1">
        <v>59913218</v>
      </c>
      <c r="B417" s="1" t="str">
        <f>_xlfn.XLOOKUP(A417,Sheet1!A:A,Sheet1!D:D,"")</f>
        <v>HYPER-COTTON SHEETS</v>
      </c>
      <c r="C417" s="1" t="s">
        <v>1048</v>
      </c>
      <c r="D417" s="2">
        <f>_xlfn.XLOOKUP(A417,Sheet1!A:A,Sheet1!C:C,"")</f>
        <v>159.99</v>
      </c>
      <c r="E417" s="2">
        <v>159.99</v>
      </c>
      <c r="F417" s="1" t="s">
        <v>43</v>
      </c>
      <c r="H417" s="1" t="s">
        <v>1047</v>
      </c>
      <c r="J417" s="1" t="s">
        <v>15</v>
      </c>
    </row>
    <row r="418" spans="1:10" x14ac:dyDescent="0.35">
      <c r="A418" s="1">
        <v>59913220</v>
      </c>
      <c r="B418" s="1" t="str">
        <f>_xlfn.XLOOKUP(A418,Sheet1!A:A,Sheet1!D:D,"")</f>
        <v>HYPER-COTTON SHEETS</v>
      </c>
      <c r="C418" s="1" t="s">
        <v>1049</v>
      </c>
      <c r="D418" s="2">
        <f>_xlfn.XLOOKUP(A418,Sheet1!A:A,Sheet1!C:C,"")</f>
        <v>179.99</v>
      </c>
      <c r="E418" s="2">
        <v>179.99</v>
      </c>
      <c r="F418" s="1" t="s">
        <v>43</v>
      </c>
      <c r="H418" s="1" t="s">
        <v>1047</v>
      </c>
      <c r="J418" s="1" t="s">
        <v>317</v>
      </c>
    </row>
    <row r="419" spans="1:10" x14ac:dyDescent="0.35">
      <c r="A419" s="1">
        <v>59913232</v>
      </c>
      <c r="B419" s="1" t="str">
        <f>_xlfn.XLOOKUP(A419,Sheet1!A:A,Sheet1!D:D,"")</f>
        <v>HYPER-COTTON SHEETS</v>
      </c>
      <c r="C419" s="1" t="s">
        <v>1050</v>
      </c>
      <c r="D419" s="2">
        <f>_xlfn.XLOOKUP(A419,Sheet1!A:A,Sheet1!C:C,"")</f>
        <v>199.99</v>
      </c>
      <c r="E419" s="2">
        <v>199.99</v>
      </c>
      <c r="F419" s="1" t="s">
        <v>43</v>
      </c>
      <c r="H419" s="1" t="s">
        <v>1047</v>
      </c>
      <c r="J419" s="1" t="s">
        <v>451</v>
      </c>
    </row>
    <row r="420" spans="1:10" x14ac:dyDescent="0.35">
      <c r="A420" s="1">
        <v>59913244</v>
      </c>
      <c r="B420" s="1" t="str">
        <f>_xlfn.XLOOKUP(A420,Sheet1!A:A,Sheet1!D:D,"")</f>
        <v>HYPER-COTTON SHEETS</v>
      </c>
      <c r="C420" s="1" t="s">
        <v>1051</v>
      </c>
      <c r="D420" s="2">
        <f>_xlfn.XLOOKUP(A420,Sheet1!A:A,Sheet1!C:C,"")</f>
        <v>229.99</v>
      </c>
      <c r="E420" s="2">
        <v>229.99</v>
      </c>
      <c r="F420" s="1" t="s">
        <v>43</v>
      </c>
      <c r="H420" s="1" t="s">
        <v>1047</v>
      </c>
      <c r="J420" s="1" t="s">
        <v>594</v>
      </c>
    </row>
    <row r="421" spans="1:10" x14ac:dyDescent="0.35">
      <c r="A421" s="1">
        <v>59913256</v>
      </c>
      <c r="B421" s="1" t="str">
        <f>_xlfn.XLOOKUP(A421,Sheet1!A:A,Sheet1!D:D,"")</f>
        <v>HYPER-COTTON SHEETS</v>
      </c>
      <c r="C421" s="1" t="s">
        <v>1052</v>
      </c>
      <c r="D421" s="2">
        <f>_xlfn.XLOOKUP(A421,Sheet1!A:A,Sheet1!C:C,"")</f>
        <v>229.99</v>
      </c>
      <c r="E421" s="2">
        <v>229.99</v>
      </c>
      <c r="F421" s="1" t="s">
        <v>43</v>
      </c>
      <c r="H421" s="1" t="s">
        <v>1047</v>
      </c>
      <c r="J421" s="1" t="s">
        <v>751</v>
      </c>
    </row>
    <row r="422" spans="1:10" x14ac:dyDescent="0.35">
      <c r="A422" s="1">
        <v>59913268</v>
      </c>
      <c r="B422" s="1" t="str">
        <f>_xlfn.XLOOKUP(A422,Sheet1!A:A,Sheet1!D:D,"")</f>
        <v>HYPER-COTTON SHEETS</v>
      </c>
      <c r="C422" s="1" t="s">
        <v>1053</v>
      </c>
      <c r="D422" s="2">
        <f>_xlfn.XLOOKUP(A422,Sheet1!A:A,Sheet1!C:C,"")</f>
        <v>249.99</v>
      </c>
      <c r="E422" s="2">
        <v>249.99</v>
      </c>
      <c r="F422" s="1" t="s">
        <v>43</v>
      </c>
      <c r="H422" s="1" t="s">
        <v>1047</v>
      </c>
      <c r="J422" s="1" t="s">
        <v>769</v>
      </c>
    </row>
    <row r="423" spans="1:10" x14ac:dyDescent="0.35">
      <c r="A423" s="1">
        <v>59913270</v>
      </c>
      <c r="B423" s="1" t="str">
        <f>_xlfn.XLOOKUP(A423,Sheet1!A:A,Sheet1!D:D,"")</f>
        <v>HYPER-COTTON SHEETS</v>
      </c>
      <c r="C423" s="1" t="s">
        <v>1054</v>
      </c>
      <c r="D423" s="2">
        <f>_xlfn.XLOOKUP(A423,Sheet1!A:A,Sheet1!C:C,"")</f>
        <v>249.99</v>
      </c>
      <c r="E423" s="2">
        <v>249.99</v>
      </c>
      <c r="F423" s="1" t="s">
        <v>43</v>
      </c>
      <c r="H423" s="1" t="s">
        <v>1047</v>
      </c>
      <c r="J423" s="1" t="s">
        <v>784</v>
      </c>
    </row>
    <row r="424" spans="1:10" x14ac:dyDescent="0.35">
      <c r="A424" s="1">
        <v>59913307</v>
      </c>
      <c r="B424" s="1" t="str">
        <f>_xlfn.XLOOKUP(A424,Sheet1!A:A,Sheet1!D:D,"")</f>
        <v>HYPER-COTTON SHEETS</v>
      </c>
      <c r="C424" s="1" t="s">
        <v>1046</v>
      </c>
      <c r="D424" s="2">
        <f>_xlfn.XLOOKUP(A424,Sheet1!A:A,Sheet1!C:C,"")</f>
        <v>149.99</v>
      </c>
      <c r="E424" s="2">
        <v>149.99</v>
      </c>
      <c r="F424" s="1" t="s">
        <v>43</v>
      </c>
      <c r="H424" s="1" t="s">
        <v>1055</v>
      </c>
      <c r="J424" s="1" t="s">
        <v>74</v>
      </c>
    </row>
    <row r="425" spans="1:10" x14ac:dyDescent="0.35">
      <c r="A425" s="1">
        <v>59913319</v>
      </c>
      <c r="B425" s="1" t="str">
        <f>_xlfn.XLOOKUP(A425,Sheet1!A:A,Sheet1!D:D,"")</f>
        <v>HYPER-COTTON SHEETS</v>
      </c>
      <c r="C425" s="1" t="s">
        <v>1048</v>
      </c>
      <c r="D425" s="2">
        <f>_xlfn.XLOOKUP(A425,Sheet1!A:A,Sheet1!C:C,"")</f>
        <v>159.99</v>
      </c>
      <c r="E425" s="2">
        <v>159.99</v>
      </c>
      <c r="F425" s="1" t="s">
        <v>43</v>
      </c>
      <c r="H425" s="1" t="s">
        <v>1055</v>
      </c>
      <c r="J425" s="1" t="s">
        <v>15</v>
      </c>
    </row>
    <row r="426" spans="1:10" x14ac:dyDescent="0.35">
      <c r="A426" s="1">
        <v>59913321</v>
      </c>
      <c r="B426" s="1" t="str">
        <f>_xlfn.XLOOKUP(A426,Sheet1!A:A,Sheet1!D:D,"")</f>
        <v>HYPER-COTTON SHEETS</v>
      </c>
      <c r="C426" s="1" t="s">
        <v>1049</v>
      </c>
      <c r="D426" s="2">
        <f>_xlfn.XLOOKUP(A426,Sheet1!A:A,Sheet1!C:C,"")</f>
        <v>179.99</v>
      </c>
      <c r="E426" s="2">
        <v>179.99</v>
      </c>
      <c r="F426" s="1" t="s">
        <v>43</v>
      </c>
      <c r="H426" s="1" t="s">
        <v>1055</v>
      </c>
      <c r="J426" s="1" t="s">
        <v>317</v>
      </c>
    </row>
    <row r="427" spans="1:10" x14ac:dyDescent="0.35">
      <c r="A427" s="1">
        <v>59913333</v>
      </c>
      <c r="B427" s="1" t="str">
        <f>_xlfn.XLOOKUP(A427,Sheet1!A:A,Sheet1!D:D,"")</f>
        <v>HYPER-COTTON SHEETS</v>
      </c>
      <c r="C427" s="1" t="s">
        <v>1050</v>
      </c>
      <c r="D427" s="2">
        <f>_xlfn.XLOOKUP(A427,Sheet1!A:A,Sheet1!C:C,"")</f>
        <v>199.99</v>
      </c>
      <c r="E427" s="2">
        <v>199.99</v>
      </c>
      <c r="F427" s="1" t="s">
        <v>43</v>
      </c>
      <c r="H427" s="1" t="s">
        <v>1055</v>
      </c>
      <c r="J427" s="1" t="s">
        <v>451</v>
      </c>
    </row>
    <row r="428" spans="1:10" x14ac:dyDescent="0.35">
      <c r="A428" s="1">
        <v>59913345</v>
      </c>
      <c r="B428" s="1" t="str">
        <f>_xlfn.XLOOKUP(A428,Sheet1!A:A,Sheet1!D:D,"")</f>
        <v>HYPER-COTTON SHEETS</v>
      </c>
      <c r="C428" s="1" t="s">
        <v>1051</v>
      </c>
      <c r="D428" s="2">
        <f>_xlfn.XLOOKUP(A428,Sheet1!A:A,Sheet1!C:C,"")</f>
        <v>229.99</v>
      </c>
      <c r="E428" s="2">
        <v>229.99</v>
      </c>
      <c r="F428" s="1" t="s">
        <v>43</v>
      </c>
      <c r="H428" s="1" t="s">
        <v>1055</v>
      </c>
      <c r="J428" s="1" t="s">
        <v>594</v>
      </c>
    </row>
    <row r="429" spans="1:10" x14ac:dyDescent="0.35">
      <c r="A429" s="1">
        <v>59913357</v>
      </c>
      <c r="B429" s="1" t="str">
        <f>_xlfn.XLOOKUP(A429,Sheet1!A:A,Sheet1!D:D,"")</f>
        <v>HYPER-COTTON SHEETS</v>
      </c>
      <c r="C429" s="1" t="s">
        <v>1052</v>
      </c>
      <c r="D429" s="2">
        <f>_xlfn.XLOOKUP(A429,Sheet1!A:A,Sheet1!C:C,"")</f>
        <v>229.99</v>
      </c>
      <c r="E429" s="2">
        <v>229.99</v>
      </c>
      <c r="F429" s="1" t="s">
        <v>43</v>
      </c>
      <c r="H429" s="1" t="s">
        <v>1055</v>
      </c>
      <c r="J429" s="1" t="s">
        <v>751</v>
      </c>
    </row>
    <row r="430" spans="1:10" x14ac:dyDescent="0.35">
      <c r="A430" s="1">
        <v>59913369</v>
      </c>
      <c r="B430" s="1" t="str">
        <f>_xlfn.XLOOKUP(A430,Sheet1!A:A,Sheet1!D:D,"")</f>
        <v>HYPER-COTTON SHEETS</v>
      </c>
      <c r="C430" s="1" t="s">
        <v>1053</v>
      </c>
      <c r="D430" s="2">
        <f>_xlfn.XLOOKUP(A430,Sheet1!A:A,Sheet1!C:C,"")</f>
        <v>249.99</v>
      </c>
      <c r="E430" s="2">
        <v>249.99</v>
      </c>
      <c r="F430" s="1" t="s">
        <v>43</v>
      </c>
      <c r="H430" s="1" t="s">
        <v>1055</v>
      </c>
      <c r="J430" s="1" t="s">
        <v>769</v>
      </c>
    </row>
    <row r="431" spans="1:10" x14ac:dyDescent="0.35">
      <c r="A431" s="1">
        <v>59913371</v>
      </c>
      <c r="B431" s="1" t="str">
        <f>_xlfn.XLOOKUP(A431,Sheet1!A:A,Sheet1!D:D,"")</f>
        <v>HYPER-COTTON SHEETS</v>
      </c>
      <c r="C431" s="1" t="s">
        <v>1054</v>
      </c>
      <c r="D431" s="2">
        <f>_xlfn.XLOOKUP(A431,Sheet1!A:A,Sheet1!C:C,"")</f>
        <v>249.99</v>
      </c>
      <c r="E431" s="2">
        <v>249.99</v>
      </c>
      <c r="F431" s="1" t="s">
        <v>43</v>
      </c>
      <c r="H431" s="1" t="s">
        <v>1055</v>
      </c>
      <c r="J431" s="1" t="s">
        <v>784</v>
      </c>
    </row>
    <row r="432" spans="1:10" x14ac:dyDescent="0.35">
      <c r="A432" s="1">
        <v>59913408</v>
      </c>
      <c r="B432" s="1" t="str">
        <f>_xlfn.XLOOKUP(A432,Sheet1!A:A,Sheet1!D:D,"")</f>
        <v>HYPER-COTTON SHEETS</v>
      </c>
      <c r="C432" s="1" t="s">
        <v>1046</v>
      </c>
      <c r="D432" s="2">
        <f>_xlfn.XLOOKUP(A432,Sheet1!A:A,Sheet1!C:C,"")</f>
        <v>149.99</v>
      </c>
      <c r="E432" s="2">
        <v>149.99</v>
      </c>
      <c r="F432" s="1" t="s">
        <v>43</v>
      </c>
      <c r="H432" s="1" t="s">
        <v>1055</v>
      </c>
      <c r="J432" s="1" t="s">
        <v>74</v>
      </c>
    </row>
    <row r="433" spans="1:10" x14ac:dyDescent="0.35">
      <c r="A433" s="1">
        <v>59913410</v>
      </c>
      <c r="B433" s="1" t="str">
        <f>_xlfn.XLOOKUP(A433,Sheet1!A:A,Sheet1!D:D,"")</f>
        <v>HYPER-COTTON SHEETS</v>
      </c>
      <c r="C433" s="1" t="s">
        <v>1048</v>
      </c>
      <c r="D433" s="2">
        <f>_xlfn.XLOOKUP(A433,Sheet1!A:A,Sheet1!C:C,"")</f>
        <v>159.99</v>
      </c>
      <c r="E433" s="2">
        <v>159.99</v>
      </c>
      <c r="F433" s="1" t="s">
        <v>43</v>
      </c>
      <c r="H433" s="1" t="s">
        <v>1047</v>
      </c>
      <c r="J433" s="1" t="s">
        <v>15</v>
      </c>
    </row>
    <row r="434" spans="1:10" x14ac:dyDescent="0.35">
      <c r="A434" s="1">
        <v>59913422</v>
      </c>
      <c r="B434" s="1" t="str">
        <f>_xlfn.XLOOKUP(A434,Sheet1!A:A,Sheet1!D:D,"")</f>
        <v>HYPER-COTTON SHEETS</v>
      </c>
      <c r="C434" s="1" t="s">
        <v>1049</v>
      </c>
      <c r="D434" s="2">
        <f>_xlfn.XLOOKUP(A434,Sheet1!A:A,Sheet1!C:C,"")</f>
        <v>179.99</v>
      </c>
      <c r="E434" s="2">
        <v>179.99</v>
      </c>
      <c r="F434" s="1" t="s">
        <v>43</v>
      </c>
      <c r="H434" s="1" t="s">
        <v>1055</v>
      </c>
      <c r="J434" s="1" t="s">
        <v>317</v>
      </c>
    </row>
    <row r="435" spans="1:10" x14ac:dyDescent="0.35">
      <c r="A435" s="1">
        <v>59913434</v>
      </c>
      <c r="B435" s="1" t="str">
        <f>_xlfn.XLOOKUP(A435,Sheet1!A:A,Sheet1!D:D,"")</f>
        <v>HYPER-COTTON SHEETS</v>
      </c>
      <c r="C435" s="1" t="s">
        <v>1050</v>
      </c>
      <c r="D435" s="2">
        <f>_xlfn.XLOOKUP(A435,Sheet1!A:A,Sheet1!C:C,"")</f>
        <v>199.99</v>
      </c>
      <c r="E435" s="2">
        <v>199.99</v>
      </c>
      <c r="F435" s="1" t="s">
        <v>43</v>
      </c>
      <c r="H435" s="1" t="s">
        <v>1055</v>
      </c>
      <c r="J435" s="1" t="s">
        <v>451</v>
      </c>
    </row>
    <row r="436" spans="1:10" x14ac:dyDescent="0.35">
      <c r="A436" s="1">
        <v>59913446</v>
      </c>
      <c r="B436" s="1" t="str">
        <f>_xlfn.XLOOKUP(A436,Sheet1!A:A,Sheet1!D:D,"")</f>
        <v>HYPER-COTTON SHEETS</v>
      </c>
      <c r="C436" s="1" t="s">
        <v>1051</v>
      </c>
      <c r="D436" s="2">
        <f>_xlfn.XLOOKUP(A436,Sheet1!A:A,Sheet1!C:C,"")</f>
        <v>229.99</v>
      </c>
      <c r="E436" s="2">
        <v>229.99</v>
      </c>
      <c r="F436" s="1" t="s">
        <v>43</v>
      </c>
      <c r="H436" s="1" t="s">
        <v>1055</v>
      </c>
      <c r="J436" s="1" t="s">
        <v>594</v>
      </c>
    </row>
    <row r="437" spans="1:10" x14ac:dyDescent="0.35">
      <c r="A437" s="1">
        <v>59913458</v>
      </c>
      <c r="B437" s="1" t="str">
        <f>_xlfn.XLOOKUP(A437,Sheet1!A:A,Sheet1!D:D,"")</f>
        <v>HYPER-COTTON SHEETS</v>
      </c>
      <c r="C437" s="1" t="s">
        <v>1052</v>
      </c>
      <c r="D437" s="2">
        <f>_xlfn.XLOOKUP(A437,Sheet1!A:A,Sheet1!C:C,"")</f>
        <v>229.99</v>
      </c>
      <c r="E437" s="2">
        <v>229.99</v>
      </c>
      <c r="F437" s="1" t="s">
        <v>43</v>
      </c>
      <c r="H437" s="1" t="s">
        <v>1055</v>
      </c>
      <c r="J437" s="1" t="s">
        <v>751</v>
      </c>
    </row>
    <row r="438" spans="1:10" x14ac:dyDescent="0.35">
      <c r="A438" s="1">
        <v>59913460</v>
      </c>
      <c r="B438" s="1" t="str">
        <f>_xlfn.XLOOKUP(A438,Sheet1!A:A,Sheet1!D:D,"")</f>
        <v>HYPER-COTTON SHEETS</v>
      </c>
      <c r="C438" s="1" t="s">
        <v>1053</v>
      </c>
      <c r="D438" s="2">
        <f>_xlfn.XLOOKUP(A438,Sheet1!A:A,Sheet1!C:C,"")</f>
        <v>249.99</v>
      </c>
      <c r="E438" s="2">
        <v>249.99</v>
      </c>
      <c r="F438" s="1" t="s">
        <v>43</v>
      </c>
      <c r="H438" s="1" t="s">
        <v>1055</v>
      </c>
      <c r="J438" s="1" t="s">
        <v>784</v>
      </c>
    </row>
    <row r="439" spans="1:10" x14ac:dyDescent="0.35">
      <c r="A439" s="1">
        <v>59913472</v>
      </c>
      <c r="B439" s="1" t="str">
        <f>_xlfn.XLOOKUP(A439,Sheet1!A:A,Sheet1!D:D,"")</f>
        <v>HYPER-COTTON SHEETS</v>
      </c>
      <c r="C439" s="1" t="s">
        <v>1054</v>
      </c>
      <c r="D439" s="2">
        <f>_xlfn.XLOOKUP(A439,Sheet1!A:A,Sheet1!C:C,"")</f>
        <v>249.99</v>
      </c>
      <c r="E439" s="2">
        <v>249.99</v>
      </c>
      <c r="F439" s="1" t="s">
        <v>43</v>
      </c>
      <c r="H439" s="1" t="s">
        <v>1055</v>
      </c>
      <c r="J439" s="1" t="s">
        <v>784</v>
      </c>
    </row>
    <row r="440" spans="1:10" x14ac:dyDescent="0.35">
      <c r="A440" s="1">
        <v>59913597</v>
      </c>
      <c r="B440" s="1" t="str">
        <f>_xlfn.XLOOKUP(A440,Sheet1!A:A,Sheet1!D:D,"")</f>
        <v>VER-TEX SHEETS</v>
      </c>
      <c r="C440" s="1" t="s">
        <v>1056</v>
      </c>
      <c r="D440" s="2">
        <f>_xlfn.XLOOKUP(A440,Sheet1!A:A,Sheet1!C:C,"")</f>
        <v>299.99</v>
      </c>
      <c r="E440" s="2">
        <v>299.99</v>
      </c>
      <c r="F440" s="1" t="s">
        <v>43</v>
      </c>
      <c r="H440" s="1" t="s">
        <v>1057</v>
      </c>
      <c r="J440" s="1" t="s">
        <v>451</v>
      </c>
    </row>
    <row r="441" spans="1:10" x14ac:dyDescent="0.35">
      <c r="A441" s="1">
        <v>59913662</v>
      </c>
      <c r="B441" s="1" t="str">
        <f>_xlfn.XLOOKUP(A441,Sheet1!A:A,Sheet1!D:D,"")</f>
        <v>VER-TEX SHEETS</v>
      </c>
      <c r="C441" s="1" t="s">
        <v>1059</v>
      </c>
      <c r="D441" s="2">
        <f>_xlfn.XLOOKUP(A441,Sheet1!A:A,Sheet1!C:C,"")</f>
        <v>329.99</v>
      </c>
      <c r="E441" s="2">
        <v>329.99</v>
      </c>
      <c r="F441" s="1" t="s">
        <v>43</v>
      </c>
      <c r="H441" s="1" t="s">
        <v>1057</v>
      </c>
      <c r="J441" s="1" t="s">
        <v>1028</v>
      </c>
    </row>
    <row r="442" spans="1:10" x14ac:dyDescent="0.35">
      <c r="A442" s="1">
        <v>59913674</v>
      </c>
      <c r="B442" s="1" t="str">
        <f>_xlfn.XLOOKUP(A442,Sheet1!A:A,Sheet1!D:D,"")</f>
        <v>VER-TEX SHEETS</v>
      </c>
      <c r="C442" s="1" t="s">
        <v>1060</v>
      </c>
      <c r="D442" s="2">
        <f>_xlfn.XLOOKUP(A442,Sheet1!A:A,Sheet1!C:C,"")</f>
        <v>349.99</v>
      </c>
      <c r="E442" s="2">
        <v>349.99</v>
      </c>
      <c r="F442" s="1" t="s">
        <v>43</v>
      </c>
      <c r="H442" s="1" t="s">
        <v>1057</v>
      </c>
      <c r="J442" s="1" t="s">
        <v>1031</v>
      </c>
    </row>
    <row r="443" spans="1:10" x14ac:dyDescent="0.35">
      <c r="A443" s="1">
        <v>59913686</v>
      </c>
      <c r="B443" s="1" t="str">
        <f>_xlfn.XLOOKUP(A443,Sheet1!A:A,Sheet1!D:D,"")</f>
        <v>VER-TEX SHEETS</v>
      </c>
      <c r="C443" s="1" t="s">
        <v>1056</v>
      </c>
      <c r="D443" s="2">
        <f>_xlfn.XLOOKUP(A443,Sheet1!A:A,Sheet1!C:C,"")</f>
        <v>299.99</v>
      </c>
      <c r="E443" s="2">
        <v>299.99</v>
      </c>
      <c r="F443" s="1" t="s">
        <v>43</v>
      </c>
      <c r="H443" s="1" t="s">
        <v>1057</v>
      </c>
      <c r="J443" s="1" t="s">
        <v>451</v>
      </c>
    </row>
    <row r="444" spans="1:10" x14ac:dyDescent="0.35">
      <c r="A444" s="1">
        <v>59913698</v>
      </c>
      <c r="B444" s="1" t="str">
        <f>_xlfn.XLOOKUP(A444,Sheet1!A:A,Sheet1!D:D,"")</f>
        <v>VER-TEX SHEETS</v>
      </c>
      <c r="C444" s="1" t="s">
        <v>1059</v>
      </c>
      <c r="D444" s="2">
        <f>_xlfn.XLOOKUP(A444,Sheet1!A:A,Sheet1!C:C,"")</f>
        <v>329.99</v>
      </c>
      <c r="E444" s="2">
        <v>329.99</v>
      </c>
      <c r="F444" s="1" t="s">
        <v>43</v>
      </c>
      <c r="H444" s="1" t="s">
        <v>1057</v>
      </c>
      <c r="J444" s="1" t="s">
        <v>1028</v>
      </c>
    </row>
    <row r="445" spans="1:10" x14ac:dyDescent="0.35">
      <c r="A445" s="1">
        <v>59913751</v>
      </c>
      <c r="B445" s="1" t="str">
        <f>_xlfn.XLOOKUP(A445,Sheet1!A:A,Sheet1!D:D,"")</f>
        <v>VER-TEX SHEETS</v>
      </c>
      <c r="C445" s="1" t="s">
        <v>1060</v>
      </c>
      <c r="D445" s="2">
        <f>_xlfn.XLOOKUP(A445,Sheet1!A:A,Sheet1!C:C,"")</f>
        <v>349.99</v>
      </c>
      <c r="E445" s="2">
        <v>349.99</v>
      </c>
      <c r="F445" s="1" t="s">
        <v>43</v>
      </c>
      <c r="H445" s="1" t="s">
        <v>1057</v>
      </c>
      <c r="J445" s="1" t="s">
        <v>1031</v>
      </c>
    </row>
    <row r="446" spans="1:10" x14ac:dyDescent="0.35">
      <c r="A446" s="1">
        <v>59913763</v>
      </c>
      <c r="B446" s="1" t="str">
        <f>_xlfn.XLOOKUP(A446,Sheet1!A:A,Sheet1!D:D,"")</f>
        <v>VER-TEX SHEETS</v>
      </c>
      <c r="C446" s="1" t="s">
        <v>1056</v>
      </c>
      <c r="D446" s="2">
        <f>_xlfn.XLOOKUP(A446,Sheet1!A:A,Sheet1!C:C,"")</f>
        <v>299.99</v>
      </c>
      <c r="E446" s="2">
        <v>299.99</v>
      </c>
      <c r="F446" s="1" t="s">
        <v>43</v>
      </c>
      <c r="H446" s="1" t="s">
        <v>1057</v>
      </c>
      <c r="J446" s="1" t="s">
        <v>451</v>
      </c>
    </row>
    <row r="447" spans="1:10" x14ac:dyDescent="0.35">
      <c r="A447" s="1">
        <v>59913775</v>
      </c>
      <c r="B447" s="1" t="str">
        <f>_xlfn.XLOOKUP(A447,Sheet1!A:A,Sheet1!D:D,"")</f>
        <v>VER-TEX SHEETS</v>
      </c>
      <c r="C447" s="1" t="s">
        <v>1059</v>
      </c>
      <c r="D447" s="2">
        <f>_xlfn.XLOOKUP(A447,Sheet1!A:A,Sheet1!C:C,"")</f>
        <v>329.99</v>
      </c>
      <c r="E447" s="2">
        <v>329.99</v>
      </c>
      <c r="F447" s="1" t="s">
        <v>43</v>
      </c>
      <c r="H447" s="1" t="s">
        <v>1057</v>
      </c>
      <c r="J447" s="1" t="s">
        <v>1028</v>
      </c>
    </row>
    <row r="448" spans="1:10" x14ac:dyDescent="0.35">
      <c r="A448" s="1">
        <v>59913787</v>
      </c>
      <c r="B448" s="1" t="str">
        <f>_xlfn.XLOOKUP(A448,Sheet1!A:A,Sheet1!D:D,"")</f>
        <v>VER-TEX SHEETS</v>
      </c>
      <c r="C448" s="1" t="s">
        <v>1060</v>
      </c>
      <c r="D448" s="2">
        <f>_xlfn.XLOOKUP(A448,Sheet1!A:A,Sheet1!C:C,"")</f>
        <v>349.99</v>
      </c>
      <c r="E448" s="2">
        <v>349.99</v>
      </c>
      <c r="F448" s="1" t="s">
        <v>43</v>
      </c>
      <c r="H448" s="1" t="s">
        <v>1057</v>
      </c>
      <c r="J448" s="1" t="s">
        <v>1031</v>
      </c>
    </row>
    <row r="449" spans="1:10" x14ac:dyDescent="0.35">
      <c r="A449" s="1">
        <v>59913799</v>
      </c>
      <c r="B449" s="1" t="str">
        <f>_xlfn.XLOOKUP(A449,Sheet1!A:A,Sheet1!D:D,"")</f>
        <v>VER-TEX SHEETS</v>
      </c>
      <c r="C449" s="1" t="s">
        <v>1056</v>
      </c>
      <c r="D449" s="2">
        <f>_xlfn.XLOOKUP(A449,Sheet1!A:A,Sheet1!C:C,"")</f>
        <v>299.99</v>
      </c>
      <c r="E449" s="2">
        <v>299.99</v>
      </c>
      <c r="F449" s="1" t="s">
        <v>43</v>
      </c>
      <c r="H449" s="1" t="s">
        <v>1057</v>
      </c>
      <c r="J449" s="1" t="s">
        <v>451</v>
      </c>
    </row>
    <row r="450" spans="1:10" x14ac:dyDescent="0.35">
      <c r="A450" s="1">
        <v>59913802</v>
      </c>
      <c r="B450" s="1" t="str">
        <f>_xlfn.XLOOKUP(A450,Sheet1!A:A,Sheet1!D:D,"")</f>
        <v>VER-TEX SHEETS</v>
      </c>
      <c r="C450" s="1" t="s">
        <v>1059</v>
      </c>
      <c r="D450" s="2">
        <f>_xlfn.XLOOKUP(A450,Sheet1!A:A,Sheet1!C:C,"")</f>
        <v>329.99</v>
      </c>
      <c r="E450" s="2">
        <v>329.99</v>
      </c>
      <c r="F450" s="1" t="s">
        <v>43</v>
      </c>
      <c r="H450" s="1" t="s">
        <v>1057</v>
      </c>
      <c r="J450" s="1" t="s">
        <v>1028</v>
      </c>
    </row>
    <row r="451" spans="1:10" x14ac:dyDescent="0.35">
      <c r="A451" s="1">
        <v>59913814</v>
      </c>
      <c r="B451" s="1" t="str">
        <f>_xlfn.XLOOKUP(A451,Sheet1!A:A,Sheet1!D:D,"")</f>
        <v>VER-TEX SHEETS</v>
      </c>
      <c r="C451" s="1" t="s">
        <v>1060</v>
      </c>
      <c r="D451" s="2">
        <f>_xlfn.XLOOKUP(A451,Sheet1!A:A,Sheet1!C:C,"")</f>
        <v>349.99</v>
      </c>
      <c r="E451" s="2">
        <v>349.99</v>
      </c>
      <c r="F451" s="1" t="s">
        <v>43</v>
      </c>
      <c r="H451" s="1" t="s">
        <v>1057</v>
      </c>
      <c r="J451" s="1" t="s">
        <v>1031</v>
      </c>
    </row>
    <row r="452" spans="1:10" x14ac:dyDescent="0.35">
      <c r="A452" s="1">
        <v>59914018</v>
      </c>
      <c r="B452" s="1" t="str">
        <f>_xlfn.XLOOKUP(A452,Sheet1!A:A,Sheet1!D:D,"")</f>
        <v>BG BASIC SHEETS</v>
      </c>
      <c r="C452" s="1" t="s">
        <v>1065</v>
      </c>
      <c r="D452" s="2">
        <f>_xlfn.XLOOKUP(A452,Sheet1!A:A,Sheet1!C:C,"")</f>
        <v>74.989999999999995</v>
      </c>
      <c r="E452" s="2">
        <v>74.989999999999995</v>
      </c>
      <c r="F452" s="1" t="s">
        <v>43</v>
      </c>
      <c r="H452" s="1" t="s">
        <v>1066</v>
      </c>
      <c r="J452" s="1" t="s">
        <v>317</v>
      </c>
    </row>
    <row r="453" spans="1:10" x14ac:dyDescent="0.35">
      <c r="A453" s="1">
        <v>59914020</v>
      </c>
      <c r="B453" s="1" t="str">
        <f>_xlfn.XLOOKUP(A453,Sheet1!A:A,Sheet1!D:D,"")</f>
        <v>BG BASIC SHEETS</v>
      </c>
      <c r="C453" s="1" t="s">
        <v>1067</v>
      </c>
      <c r="D453" s="2">
        <f>_xlfn.XLOOKUP(A453,Sheet1!A:A,Sheet1!C:C,"")</f>
        <v>79.989999999999995</v>
      </c>
      <c r="E453" s="2">
        <v>79.989999999999995</v>
      </c>
      <c r="F453" s="1" t="s">
        <v>43</v>
      </c>
      <c r="H453" s="1" t="s">
        <v>1068</v>
      </c>
      <c r="J453" s="1" t="s">
        <v>451</v>
      </c>
    </row>
    <row r="454" spans="1:10" x14ac:dyDescent="0.35">
      <c r="A454" s="1">
        <v>59914032</v>
      </c>
      <c r="B454" s="1" t="str">
        <f>_xlfn.XLOOKUP(A454,Sheet1!A:A,Sheet1!D:D,"")</f>
        <v>BG BASIC SHEETS</v>
      </c>
      <c r="C454" s="1" t="s">
        <v>1069</v>
      </c>
      <c r="D454" s="2">
        <f>_xlfn.XLOOKUP(A454,Sheet1!A:A,Sheet1!C:C,"")</f>
        <v>99.99</v>
      </c>
      <c r="E454" s="2">
        <v>99.99</v>
      </c>
      <c r="F454" s="1" t="s">
        <v>43</v>
      </c>
      <c r="H454" s="1" t="s">
        <v>1070</v>
      </c>
      <c r="J454" s="1" t="s">
        <v>594</v>
      </c>
    </row>
    <row r="455" spans="1:10" x14ac:dyDescent="0.35">
      <c r="A455" s="1">
        <v>59914044</v>
      </c>
      <c r="B455" s="1" t="str">
        <f>_xlfn.XLOOKUP(A455,Sheet1!A:A,Sheet1!D:D,"")</f>
        <v>BG BASIC SHEETS</v>
      </c>
      <c r="C455" s="1" t="s">
        <v>1071</v>
      </c>
      <c r="D455" s="2">
        <f>_xlfn.XLOOKUP(A455,Sheet1!A:A,Sheet1!C:C,"")</f>
        <v>99.99</v>
      </c>
      <c r="E455" s="2">
        <v>99.99</v>
      </c>
      <c r="F455" s="1" t="s">
        <v>43</v>
      </c>
      <c r="H455" s="1" t="s">
        <v>1072</v>
      </c>
      <c r="J455" s="1" t="s">
        <v>751</v>
      </c>
    </row>
    <row r="456" spans="1:10" x14ac:dyDescent="0.35">
      <c r="A456" s="1">
        <v>59915022</v>
      </c>
      <c r="B456" s="1" t="str">
        <f>_xlfn.XLOOKUP(A456,Sheet1!A:A,Sheet1!D:D,"")</f>
        <v>BG BASIC SHEETS</v>
      </c>
      <c r="C456" s="1" t="s">
        <v>1036</v>
      </c>
      <c r="D456" s="2">
        <f>_xlfn.XLOOKUP(A456,Sheet1!A:A,Sheet1!C:C,"")</f>
        <v>59.99</v>
      </c>
      <c r="E456" s="2">
        <v>59.99</v>
      </c>
      <c r="F456" s="1" t="s">
        <v>43</v>
      </c>
      <c r="H456" s="1" t="s">
        <v>1079</v>
      </c>
      <c r="J456" s="1" t="s">
        <v>74</v>
      </c>
    </row>
    <row r="457" spans="1:10" x14ac:dyDescent="0.35">
      <c r="A457" s="1">
        <v>59915034</v>
      </c>
      <c r="B457" s="1" t="str">
        <f>_xlfn.XLOOKUP(A457,Sheet1!A:A,Sheet1!D:D,"")</f>
        <v>BG BASIC SHEETS</v>
      </c>
      <c r="C457" s="1" t="s">
        <v>1038</v>
      </c>
      <c r="D457" s="2">
        <f>_xlfn.XLOOKUP(A457,Sheet1!A:A,Sheet1!C:C,"")</f>
        <v>64.989999999999995</v>
      </c>
      <c r="E457" s="2">
        <v>64.989999999999995</v>
      </c>
      <c r="F457" s="1" t="s">
        <v>43</v>
      </c>
      <c r="H457" s="1" t="s">
        <v>1080</v>
      </c>
      <c r="J457" s="1" t="s">
        <v>15</v>
      </c>
    </row>
    <row r="458" spans="1:10" x14ac:dyDescent="0.35">
      <c r="A458" s="1">
        <v>59915046</v>
      </c>
      <c r="B458" s="1" t="str">
        <f>_xlfn.XLOOKUP(A458,Sheet1!A:A,Sheet1!D:D,"")</f>
        <v>BG BASIC SHEETS</v>
      </c>
      <c r="C458" s="1" t="s">
        <v>1065</v>
      </c>
      <c r="D458" s="2">
        <f>_xlfn.XLOOKUP(A458,Sheet1!A:A,Sheet1!C:C,"")</f>
        <v>74.989999999999995</v>
      </c>
      <c r="E458" s="2">
        <v>74.989999999999995</v>
      </c>
      <c r="F458" s="1" t="s">
        <v>43</v>
      </c>
      <c r="H458" s="1" t="s">
        <v>1081</v>
      </c>
      <c r="J458" s="1" t="s">
        <v>317</v>
      </c>
    </row>
    <row r="459" spans="1:10" x14ac:dyDescent="0.35">
      <c r="A459" s="1">
        <v>59915058</v>
      </c>
      <c r="B459" s="1" t="str">
        <f>_xlfn.XLOOKUP(A459,Sheet1!A:A,Sheet1!D:D,"")</f>
        <v>BG BASIC SHEETS</v>
      </c>
      <c r="C459" s="1" t="s">
        <v>1067</v>
      </c>
      <c r="D459" s="2">
        <f>_xlfn.XLOOKUP(A459,Sheet1!A:A,Sheet1!C:C,"")</f>
        <v>79.989999999999995</v>
      </c>
      <c r="E459" s="2">
        <v>79.989999999999995</v>
      </c>
      <c r="F459" s="1" t="s">
        <v>43</v>
      </c>
      <c r="H459" s="1" t="s">
        <v>1082</v>
      </c>
      <c r="J459" s="1" t="s">
        <v>451</v>
      </c>
    </row>
    <row r="460" spans="1:10" x14ac:dyDescent="0.35">
      <c r="A460" s="1">
        <v>59915060</v>
      </c>
      <c r="B460" s="1" t="str">
        <f>_xlfn.XLOOKUP(A460,Sheet1!A:A,Sheet1!D:D,"")</f>
        <v>BG BASIC SHEETS</v>
      </c>
      <c r="C460" s="1" t="s">
        <v>1069</v>
      </c>
      <c r="D460" s="2">
        <f>_xlfn.XLOOKUP(A460,Sheet1!A:A,Sheet1!C:C,"")</f>
        <v>99.99</v>
      </c>
      <c r="E460" s="2">
        <v>99.99</v>
      </c>
      <c r="F460" s="1" t="s">
        <v>43</v>
      </c>
      <c r="H460" s="1" t="s">
        <v>1083</v>
      </c>
      <c r="J460" s="1" t="s">
        <v>594</v>
      </c>
    </row>
    <row r="461" spans="1:10" x14ac:dyDescent="0.35">
      <c r="A461" s="1">
        <v>59915072</v>
      </c>
      <c r="B461" s="1" t="str">
        <f>_xlfn.XLOOKUP(A461,Sheet1!A:A,Sheet1!D:D,"")</f>
        <v>BG BASIC SHEETS</v>
      </c>
      <c r="C461" s="1" t="s">
        <v>1071</v>
      </c>
      <c r="D461" s="2">
        <f>_xlfn.XLOOKUP(A461,Sheet1!A:A,Sheet1!C:C,"")</f>
        <v>99.99</v>
      </c>
      <c r="E461" s="2">
        <v>99.99</v>
      </c>
      <c r="F461" s="1" t="s">
        <v>43</v>
      </c>
      <c r="H461" s="1" t="s">
        <v>1084</v>
      </c>
      <c r="J461" s="1" t="s">
        <v>751</v>
      </c>
    </row>
    <row r="462" spans="1:10" x14ac:dyDescent="0.35">
      <c r="A462" s="1">
        <v>59915096</v>
      </c>
      <c r="B462" s="1" t="str">
        <f>_xlfn.XLOOKUP(A462,Sheet1!A:A,Sheet1!D:D,"")</f>
        <v>BG BASIC SHEETS</v>
      </c>
      <c r="C462" s="1" t="s">
        <v>1036</v>
      </c>
      <c r="D462" s="2">
        <f>_xlfn.XLOOKUP(A462,Sheet1!A:A,Sheet1!C:C,"")</f>
        <v>59.99</v>
      </c>
      <c r="E462" s="2">
        <v>59.99</v>
      </c>
      <c r="F462" s="1" t="s">
        <v>43</v>
      </c>
      <c r="H462" s="1" t="s">
        <v>1085</v>
      </c>
      <c r="J462" s="1" t="s">
        <v>74</v>
      </c>
    </row>
    <row r="463" spans="1:10" x14ac:dyDescent="0.35">
      <c r="A463" s="1">
        <v>59915109</v>
      </c>
      <c r="B463" s="1" t="str">
        <f>_xlfn.XLOOKUP(A463,Sheet1!A:A,Sheet1!D:D,"")</f>
        <v>BG BASIC SHEETS</v>
      </c>
      <c r="C463" s="1" t="s">
        <v>1038</v>
      </c>
      <c r="D463" s="2">
        <f>_xlfn.XLOOKUP(A463,Sheet1!A:A,Sheet1!C:C,"")</f>
        <v>64.989999999999995</v>
      </c>
      <c r="E463" s="2">
        <v>64.989999999999995</v>
      </c>
      <c r="F463" s="1" t="s">
        <v>43</v>
      </c>
      <c r="H463" s="1" t="s">
        <v>1085</v>
      </c>
      <c r="J463" s="1" t="s">
        <v>15</v>
      </c>
    </row>
    <row r="464" spans="1:10" x14ac:dyDescent="0.35">
      <c r="A464" s="1">
        <v>59915111</v>
      </c>
      <c r="B464" s="1" t="str">
        <f>_xlfn.XLOOKUP(A464,Sheet1!A:A,Sheet1!D:D,"")</f>
        <v>BG BASIC SHEETS</v>
      </c>
      <c r="C464" s="1" t="s">
        <v>1065</v>
      </c>
      <c r="D464" s="2">
        <f>_xlfn.XLOOKUP(A464,Sheet1!A:A,Sheet1!C:C,"")</f>
        <v>74.989999999999995</v>
      </c>
      <c r="E464" s="2">
        <v>74.989999999999995</v>
      </c>
      <c r="F464" s="1" t="s">
        <v>43</v>
      </c>
      <c r="H464" s="1" t="s">
        <v>1086</v>
      </c>
      <c r="J464" s="1" t="s">
        <v>317</v>
      </c>
    </row>
    <row r="465" spans="1:10" x14ac:dyDescent="0.35">
      <c r="A465" s="1">
        <v>59915123</v>
      </c>
      <c r="B465" s="1" t="str">
        <f>_xlfn.XLOOKUP(A465,Sheet1!A:A,Sheet1!D:D,"")</f>
        <v>BG BASIC SHEETS</v>
      </c>
      <c r="C465" s="1" t="s">
        <v>1067</v>
      </c>
      <c r="D465" s="2">
        <f>_xlfn.XLOOKUP(A465,Sheet1!A:A,Sheet1!C:C,"")</f>
        <v>79.989999999999995</v>
      </c>
      <c r="E465" s="2">
        <v>79.989999999999995</v>
      </c>
      <c r="F465" s="1" t="s">
        <v>43</v>
      </c>
      <c r="H465" s="1" t="s">
        <v>1086</v>
      </c>
      <c r="J465" s="1" t="s">
        <v>451</v>
      </c>
    </row>
    <row r="466" spans="1:10" x14ac:dyDescent="0.35">
      <c r="A466" s="1">
        <v>59915135</v>
      </c>
      <c r="B466" s="1" t="str">
        <f>_xlfn.XLOOKUP(A466,Sheet1!A:A,Sheet1!D:D,"")</f>
        <v>BG BASIC SHEETS</v>
      </c>
      <c r="C466" s="1" t="s">
        <v>1069</v>
      </c>
      <c r="D466" s="2">
        <f>_xlfn.XLOOKUP(A466,Sheet1!A:A,Sheet1!C:C,"")</f>
        <v>99.99</v>
      </c>
      <c r="E466" s="2">
        <v>99.99</v>
      </c>
      <c r="F466" s="1" t="s">
        <v>43</v>
      </c>
      <c r="H466" s="1" t="s">
        <v>1086</v>
      </c>
      <c r="J466" s="1" t="s">
        <v>594</v>
      </c>
    </row>
    <row r="467" spans="1:10" x14ac:dyDescent="0.35">
      <c r="A467" s="1">
        <v>59915147</v>
      </c>
      <c r="B467" s="1" t="str">
        <f>_xlfn.XLOOKUP(A467,Sheet1!A:A,Sheet1!D:D,"")</f>
        <v>BG BASIC SHEETS</v>
      </c>
      <c r="C467" s="1" t="s">
        <v>1071</v>
      </c>
      <c r="D467" s="2">
        <f>_xlfn.XLOOKUP(A467,Sheet1!A:A,Sheet1!C:C,"")</f>
        <v>99.99</v>
      </c>
      <c r="E467" s="2">
        <v>99.99</v>
      </c>
      <c r="F467" s="1" t="s">
        <v>43</v>
      </c>
      <c r="H467" s="1" t="s">
        <v>1086</v>
      </c>
      <c r="J467" s="1" t="s">
        <v>751</v>
      </c>
    </row>
    <row r="468" spans="1:10" x14ac:dyDescent="0.35">
      <c r="A468" s="1">
        <v>59925770</v>
      </c>
      <c r="B468" s="1" t="str">
        <f>_xlfn.XLOOKUP(A468,Sheet1!A:A,Sheet1!D:D,"")</f>
        <v>DRI-TEC SHEETS</v>
      </c>
      <c r="C468" s="1" t="s">
        <v>1088</v>
      </c>
      <c r="D468" s="2">
        <f>_xlfn.XLOOKUP(A468,Sheet1!A:A,Sheet1!C:C,"")</f>
        <v>199.99</v>
      </c>
      <c r="E468" s="2">
        <v>199.99</v>
      </c>
      <c r="F468" s="1" t="s">
        <v>43</v>
      </c>
      <c r="H468" s="1" t="s">
        <v>1032</v>
      </c>
      <c r="J468" s="1" t="s">
        <v>1025</v>
      </c>
    </row>
    <row r="469" spans="1:10" x14ac:dyDescent="0.35">
      <c r="A469" s="1">
        <v>59925782</v>
      </c>
      <c r="B469" s="1" t="str">
        <f>_xlfn.XLOOKUP(A469,Sheet1!A:A,Sheet1!D:D,"")</f>
        <v>DRI-TEC SHEETS</v>
      </c>
      <c r="C469" s="1" t="s">
        <v>1089</v>
      </c>
      <c r="D469" s="2">
        <f>_xlfn.XLOOKUP(A469,Sheet1!A:A,Sheet1!C:C,"")</f>
        <v>229.99</v>
      </c>
      <c r="E469" s="2">
        <v>229.99</v>
      </c>
      <c r="F469" s="1" t="s">
        <v>43</v>
      </c>
      <c r="H469" s="1" t="s">
        <v>1033</v>
      </c>
      <c r="J469" s="1" t="s">
        <v>317</v>
      </c>
    </row>
    <row r="470" spans="1:10" x14ac:dyDescent="0.35">
      <c r="A470" s="1">
        <v>59925845</v>
      </c>
      <c r="B470" s="1" t="str">
        <f>_xlfn.XLOOKUP(A470,Sheet1!A:A,Sheet1!D:D,"")</f>
        <v>DRI-TEC SHEETS</v>
      </c>
      <c r="C470" s="1" t="s">
        <v>1021</v>
      </c>
      <c r="D470" s="2">
        <f>_xlfn.XLOOKUP(A470,Sheet1!A:A,Sheet1!C:C,"")</f>
        <v>249.99</v>
      </c>
      <c r="E470" s="2">
        <v>249.99</v>
      </c>
      <c r="F470" s="1" t="s">
        <v>43</v>
      </c>
      <c r="H470" s="1" t="s">
        <v>1033</v>
      </c>
      <c r="J470" s="1" t="s">
        <v>451</v>
      </c>
    </row>
    <row r="471" spans="1:10" x14ac:dyDescent="0.35">
      <c r="A471" s="1">
        <v>59925869</v>
      </c>
      <c r="B471" s="1" t="str">
        <f>_xlfn.XLOOKUP(A471,Sheet1!A:A,Sheet1!D:D,"")</f>
        <v>DRI-TEC SHEETS</v>
      </c>
      <c r="C471" s="1" t="s">
        <v>1090</v>
      </c>
      <c r="D471" s="2">
        <f>_xlfn.XLOOKUP(A471,Sheet1!A:A,Sheet1!C:C,"")</f>
        <v>279.99</v>
      </c>
      <c r="E471" s="2">
        <v>279.99</v>
      </c>
      <c r="F471" s="1" t="s">
        <v>43</v>
      </c>
      <c r="H471" s="1" t="s">
        <v>1033</v>
      </c>
      <c r="J471" s="1" t="s">
        <v>1028</v>
      </c>
    </row>
    <row r="472" spans="1:10" x14ac:dyDescent="0.35">
      <c r="A472" s="1">
        <v>59925871</v>
      </c>
      <c r="B472" s="1" t="str">
        <f>_xlfn.XLOOKUP(A472,Sheet1!A:A,Sheet1!D:D,"")</f>
        <v>DRI-TEC SHEETS</v>
      </c>
      <c r="C472" s="1" t="s">
        <v>1091</v>
      </c>
      <c r="D472" s="2">
        <f>_xlfn.XLOOKUP(A472,Sheet1!A:A,Sheet1!C:C,"")</f>
        <v>279.99</v>
      </c>
      <c r="E472" s="2">
        <v>279.99</v>
      </c>
      <c r="F472" s="1" t="s">
        <v>43</v>
      </c>
      <c r="H472" s="1" t="s">
        <v>1033</v>
      </c>
      <c r="J472" s="1" t="s">
        <v>1031</v>
      </c>
    </row>
    <row r="473" spans="1:10" x14ac:dyDescent="0.35">
      <c r="A473" s="1">
        <v>59940063</v>
      </c>
      <c r="B473" s="1" t="str">
        <f>_xlfn.XLOOKUP(A473,Sheet1!A:A,Sheet1!D:D,"")</f>
        <v>CASPER SNOW PILLOW</v>
      </c>
      <c r="C473" s="1" t="s">
        <v>1094</v>
      </c>
      <c r="D473" s="2">
        <f>_xlfn.XLOOKUP(A473,Sheet1!A:A,Sheet1!C:C,"")</f>
        <v>143</v>
      </c>
      <c r="E473" s="2">
        <v>179</v>
      </c>
      <c r="F473" s="1" t="s">
        <v>13</v>
      </c>
      <c r="H473" s="1" t="s">
        <v>1095</v>
      </c>
      <c r="I473" s="1" t="s">
        <v>14</v>
      </c>
      <c r="J473" s="1" t="s">
        <v>451</v>
      </c>
    </row>
    <row r="474" spans="1:10" x14ac:dyDescent="0.35">
      <c r="A474" s="1">
        <v>59940075</v>
      </c>
      <c r="B474" s="1" t="str">
        <f>_xlfn.XLOOKUP(A474,Sheet1!A:A,Sheet1!D:D,"")</f>
        <v>CASPER SNOW PILLOW</v>
      </c>
      <c r="C474" s="1" t="s">
        <v>1096</v>
      </c>
      <c r="D474" s="2">
        <f>_xlfn.XLOOKUP(A474,Sheet1!A:A,Sheet1!C:C,"")</f>
        <v>167</v>
      </c>
      <c r="E474" s="2">
        <v>209</v>
      </c>
      <c r="F474" s="1" t="s">
        <v>13</v>
      </c>
      <c r="H474" s="1" t="s">
        <v>1095</v>
      </c>
      <c r="I474" s="1" t="s">
        <v>14</v>
      </c>
      <c r="J474" s="1" t="s">
        <v>594</v>
      </c>
    </row>
    <row r="475" spans="1:10" x14ac:dyDescent="0.35">
      <c r="A475" s="1">
        <v>59951004</v>
      </c>
      <c r="B475" s="1" t="str">
        <f>_xlfn.XLOOKUP(A475,Sheet1!A:A,Sheet1!D:D,"")</f>
        <v>FRAMES</v>
      </c>
      <c r="C475" s="1" t="s">
        <v>1103</v>
      </c>
      <c r="D475" s="2">
        <f>_xlfn.XLOOKUP(A475,Sheet1!A:A,Sheet1!C:C,"")</f>
        <v>59.99</v>
      </c>
      <c r="E475" s="2">
        <v>59.99</v>
      </c>
      <c r="F475" s="1" t="s">
        <v>1104</v>
      </c>
      <c r="H475" s="1" t="s">
        <v>1105</v>
      </c>
      <c r="I475" s="1" t="s">
        <v>1106</v>
      </c>
      <c r="J475" s="1" t="s">
        <v>44</v>
      </c>
    </row>
    <row r="476" spans="1:10" x14ac:dyDescent="0.35">
      <c r="A476" s="1">
        <v>59951016</v>
      </c>
      <c r="B476" s="1" t="str">
        <f>_xlfn.XLOOKUP(A476,Sheet1!A:A,Sheet1!D:D,"")</f>
        <v>FRAMES</v>
      </c>
      <c r="C476" s="1" t="s">
        <v>1107</v>
      </c>
      <c r="D476" s="2">
        <f>_xlfn.XLOOKUP(A476,Sheet1!A:A,Sheet1!C:C,"")</f>
        <v>79.989999999999995</v>
      </c>
      <c r="E476" s="2">
        <v>79.989999999999995</v>
      </c>
      <c r="F476" s="1" t="s">
        <v>1104</v>
      </c>
      <c r="H476" s="1" t="s">
        <v>1108</v>
      </c>
      <c r="I476" s="1" t="s">
        <v>1106</v>
      </c>
      <c r="J476" s="1" t="s">
        <v>1109</v>
      </c>
    </row>
    <row r="477" spans="1:10" x14ac:dyDescent="0.35">
      <c r="A477" s="1">
        <v>59953084</v>
      </c>
      <c r="B477" s="1" t="str">
        <f>_xlfn.XLOOKUP(A477,Sheet1!A:A,Sheet1!D:D,"")</f>
        <v>STEARNS AND FOSTER LATEX</v>
      </c>
      <c r="C477" s="1" t="s">
        <v>1118</v>
      </c>
      <c r="D477" s="2">
        <f>_xlfn.XLOOKUP(A477,Sheet1!A:A,Sheet1!C:C,"")</f>
        <v>129</v>
      </c>
      <c r="E477" s="2">
        <v>129</v>
      </c>
      <c r="F477" s="1" t="s">
        <v>178</v>
      </c>
      <c r="H477" s="1" t="s">
        <v>1119</v>
      </c>
      <c r="I477" s="1" t="s">
        <v>14</v>
      </c>
      <c r="J477" s="1" t="s">
        <v>451</v>
      </c>
    </row>
    <row r="478" spans="1:10" x14ac:dyDescent="0.35">
      <c r="A478" s="1">
        <v>59953503</v>
      </c>
      <c r="B478" s="1" t="str">
        <f>_xlfn.XLOOKUP(A478,Sheet1!A:A,Sheet1!D:D,"")</f>
        <v>ADAPT PROADJUST</v>
      </c>
      <c r="C478" s="1" t="s">
        <v>1120</v>
      </c>
      <c r="D478" s="2">
        <f>_xlfn.XLOOKUP(A478,Sheet1!A:A,Sheet1!C:C,"")</f>
        <v>125</v>
      </c>
      <c r="E478" s="2">
        <v>125</v>
      </c>
      <c r="F478" s="1" t="s">
        <v>46</v>
      </c>
      <c r="H478" s="1" t="s">
        <v>1121</v>
      </c>
      <c r="I478" s="1" t="s">
        <v>14</v>
      </c>
      <c r="J478" s="1" t="s">
        <v>451</v>
      </c>
    </row>
    <row r="479" spans="1:10" x14ac:dyDescent="0.35">
      <c r="A479" s="1">
        <v>59953515</v>
      </c>
      <c r="B479" s="1" t="str">
        <f>_xlfn.XLOOKUP(A479,Sheet1!A:A,Sheet1!D:D,"")</f>
        <v>ADAPT PROADJUST</v>
      </c>
      <c r="C479" s="1" t="s">
        <v>1122</v>
      </c>
      <c r="D479" s="2">
        <f>_xlfn.XLOOKUP(A479,Sheet1!A:A,Sheet1!C:C,"")</f>
        <v>165</v>
      </c>
      <c r="E479" s="2">
        <v>165</v>
      </c>
      <c r="F479" s="1" t="s">
        <v>46</v>
      </c>
      <c r="H479" s="1" t="s">
        <v>1121</v>
      </c>
      <c r="I479" s="1" t="s">
        <v>14</v>
      </c>
      <c r="J479" s="1" t="s">
        <v>594</v>
      </c>
    </row>
    <row r="480" spans="1:10" x14ac:dyDescent="0.35">
      <c r="A480" s="1">
        <v>59953527</v>
      </c>
      <c r="B480" s="1" t="str">
        <f>_xlfn.XLOOKUP(A480,Sheet1!A:A,Sheet1!D:D,"")</f>
        <v>ADAPT PRO LO 2.0</v>
      </c>
      <c r="C480" s="1" t="s">
        <v>1123</v>
      </c>
      <c r="D480" s="2">
        <f>_xlfn.XLOOKUP(A480,Sheet1!A:A,Sheet1!C:C,"")</f>
        <v>175</v>
      </c>
      <c r="E480" s="2">
        <v>175</v>
      </c>
      <c r="F480" s="1" t="s">
        <v>46</v>
      </c>
      <c r="H480" s="1" t="s">
        <v>1124</v>
      </c>
      <c r="I480" s="1" t="s">
        <v>14</v>
      </c>
      <c r="J480" s="1" t="s">
        <v>451</v>
      </c>
    </row>
    <row r="481" spans="1:10" x14ac:dyDescent="0.35">
      <c r="A481" s="1">
        <v>59953539</v>
      </c>
      <c r="B481" s="1" t="str">
        <f>_xlfn.XLOOKUP(A481,Sheet1!A:A,Sheet1!D:D,"")</f>
        <v>ADAPT PRO LO 2.0</v>
      </c>
      <c r="C481" s="1" t="s">
        <v>1125</v>
      </c>
      <c r="D481" s="2">
        <f>_xlfn.XLOOKUP(A481,Sheet1!A:A,Sheet1!C:C,"")</f>
        <v>215</v>
      </c>
      <c r="E481" s="2">
        <v>215</v>
      </c>
      <c r="F481" s="1" t="s">
        <v>46</v>
      </c>
      <c r="H481" s="1" t="s">
        <v>1124</v>
      </c>
      <c r="I481" s="1" t="s">
        <v>14</v>
      </c>
      <c r="J481" s="1" t="s">
        <v>594</v>
      </c>
    </row>
    <row r="482" spans="1:10" x14ac:dyDescent="0.35">
      <c r="A482" s="1">
        <v>59953541</v>
      </c>
      <c r="B482" s="1" t="str">
        <f>_xlfn.XLOOKUP(A482,Sheet1!A:A,Sheet1!D:D,"")</f>
        <v>ADAPT PRO HI 2.0</v>
      </c>
      <c r="C482" s="1" t="s">
        <v>1126</v>
      </c>
      <c r="D482" s="2">
        <f>_xlfn.XLOOKUP(A482,Sheet1!A:A,Sheet1!C:C,"")</f>
        <v>175</v>
      </c>
      <c r="E482" s="2">
        <v>175</v>
      </c>
      <c r="F482" s="1" t="s">
        <v>46</v>
      </c>
      <c r="H482" s="1" t="s">
        <v>1127</v>
      </c>
      <c r="I482" s="1" t="s">
        <v>14</v>
      </c>
      <c r="J482" s="1" t="s">
        <v>451</v>
      </c>
    </row>
    <row r="483" spans="1:10" x14ac:dyDescent="0.35">
      <c r="A483" s="1">
        <v>59953553</v>
      </c>
      <c r="B483" s="1" t="str">
        <f>_xlfn.XLOOKUP(A483,Sheet1!A:A,Sheet1!D:D,"")</f>
        <v>ADAPT PRO HI 2.0</v>
      </c>
      <c r="C483" s="1" t="s">
        <v>1128</v>
      </c>
      <c r="D483" s="2">
        <f>_xlfn.XLOOKUP(A483,Sheet1!A:A,Sheet1!C:C,"")</f>
        <v>215</v>
      </c>
      <c r="E483" s="2">
        <v>215</v>
      </c>
      <c r="F483" s="1" t="s">
        <v>46</v>
      </c>
      <c r="H483" s="1" t="s">
        <v>1127</v>
      </c>
      <c r="I483" s="1" t="s">
        <v>14</v>
      </c>
      <c r="J483" s="1" t="s">
        <v>594</v>
      </c>
    </row>
    <row r="484" spans="1:10" x14ac:dyDescent="0.35">
      <c r="A484" s="1">
        <v>59953565</v>
      </c>
      <c r="B484" s="1" t="str">
        <f>_xlfn.XLOOKUP(A484,Sheet1!A:A,Sheet1!D:D,"")</f>
        <v>BREEZE PRO-LO 2.0</v>
      </c>
      <c r="C484" s="1" t="s">
        <v>1129</v>
      </c>
      <c r="D484" s="2">
        <f>_xlfn.XLOOKUP(A484,Sheet1!A:A,Sheet1!C:C,"")</f>
        <v>225</v>
      </c>
      <c r="E484" s="2">
        <v>225</v>
      </c>
      <c r="F484" s="1" t="s">
        <v>46</v>
      </c>
      <c r="I484" s="1" t="s">
        <v>14</v>
      </c>
      <c r="J484" s="1" t="s">
        <v>451</v>
      </c>
    </row>
    <row r="485" spans="1:10" x14ac:dyDescent="0.35">
      <c r="A485" s="1">
        <v>59953577</v>
      </c>
      <c r="B485" s="1" t="str">
        <f>_xlfn.XLOOKUP(A485,Sheet1!A:A,Sheet1!D:D,"")</f>
        <v>BREEZE PRO-LO 2.0 KG</v>
      </c>
      <c r="C485" s="1" t="s">
        <v>1130</v>
      </c>
      <c r="D485" s="2">
        <f>_xlfn.XLOOKUP(A485,Sheet1!A:A,Sheet1!C:C,"")</f>
        <v>275</v>
      </c>
      <c r="E485" s="2">
        <v>275</v>
      </c>
      <c r="F485" s="1" t="s">
        <v>46</v>
      </c>
      <c r="I485" s="1" t="s">
        <v>14</v>
      </c>
      <c r="J485" s="1" t="s">
        <v>594</v>
      </c>
    </row>
    <row r="486" spans="1:10" x14ac:dyDescent="0.35">
      <c r="A486" s="1">
        <v>59953589</v>
      </c>
      <c r="B486" s="1" t="str">
        <f>_xlfn.XLOOKUP(A486,Sheet1!A:A,Sheet1!D:D,"")</f>
        <v>BREEZE PRO-HI 2.0</v>
      </c>
      <c r="C486" s="1" t="s">
        <v>1131</v>
      </c>
      <c r="D486" s="2">
        <f>_xlfn.XLOOKUP(A486,Sheet1!A:A,Sheet1!C:C,"")</f>
        <v>225</v>
      </c>
      <c r="E486" s="2">
        <v>225</v>
      </c>
      <c r="F486" s="1" t="s">
        <v>46</v>
      </c>
      <c r="I486" s="1" t="s">
        <v>14</v>
      </c>
      <c r="J486" s="1" t="s">
        <v>451</v>
      </c>
    </row>
    <row r="487" spans="1:10" x14ac:dyDescent="0.35">
      <c r="A487" s="1">
        <v>59953591</v>
      </c>
      <c r="B487" s="1" t="str">
        <f>_xlfn.XLOOKUP(A487,Sheet1!A:A,Sheet1!D:D,"")</f>
        <v>BREEZE PRO-HI 2.0 KG</v>
      </c>
      <c r="C487" s="1" t="s">
        <v>1132</v>
      </c>
      <c r="D487" s="2">
        <f>_xlfn.XLOOKUP(A487,Sheet1!A:A,Sheet1!C:C,"")</f>
        <v>275</v>
      </c>
      <c r="E487" s="2">
        <v>275</v>
      </c>
      <c r="F487" s="1" t="s">
        <v>46</v>
      </c>
      <c r="I487" s="1" t="s">
        <v>14</v>
      </c>
      <c r="J487" s="1" t="s">
        <v>594</v>
      </c>
    </row>
  </sheetData>
  <autoFilter ref="A1:P487" xr:uid="{5999BAE4-8AC4-44FE-ADB5-965995E1D8A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D05F3-B97D-4F63-912D-CED35FA2A811}">
  <dimension ref="A1:D1193"/>
  <sheetViews>
    <sheetView workbookViewId="0">
      <selection activeCell="H19" sqref="H19"/>
    </sheetView>
  </sheetViews>
  <sheetFormatPr defaultRowHeight="14.5" x14ac:dyDescent="0.35"/>
  <cols>
    <col min="1" max="1" width="8.81640625" bestFit="1" customWidth="1"/>
    <col min="2" max="2" width="52.08984375" bestFit="1" customWidth="1"/>
    <col min="3" max="3" width="11" bestFit="1" customWidth="1"/>
    <col min="4" max="4" width="40.1796875" bestFit="1" customWidth="1"/>
  </cols>
  <sheetData>
    <row r="1" spans="1:4" x14ac:dyDescent="0.35">
      <c r="A1" t="s">
        <v>1162</v>
      </c>
      <c r="B1" t="s">
        <v>0</v>
      </c>
      <c r="C1" t="s">
        <v>1163</v>
      </c>
      <c r="D1" t="s">
        <v>1164</v>
      </c>
    </row>
    <row r="2" spans="1:4" x14ac:dyDescent="0.35">
      <c r="A2">
        <v>50000543</v>
      </c>
      <c r="B2" t="s">
        <v>12</v>
      </c>
      <c r="C2">
        <v>879</v>
      </c>
      <c r="D2" t="s">
        <v>1165</v>
      </c>
    </row>
    <row r="3" spans="1:4" x14ac:dyDescent="0.35">
      <c r="A3">
        <v>50000555</v>
      </c>
      <c r="B3" t="s">
        <v>21</v>
      </c>
      <c r="C3">
        <v>679</v>
      </c>
      <c r="D3" t="s">
        <v>1166</v>
      </c>
    </row>
    <row r="4" spans="1:4" x14ac:dyDescent="0.35">
      <c r="A4">
        <v>50000567</v>
      </c>
      <c r="B4" t="s">
        <v>24</v>
      </c>
      <c r="C4">
        <v>1275</v>
      </c>
      <c r="D4" t="s">
        <v>1167</v>
      </c>
    </row>
    <row r="5" spans="1:4" x14ac:dyDescent="0.35">
      <c r="A5">
        <v>50000579</v>
      </c>
      <c r="B5" t="s">
        <v>26</v>
      </c>
      <c r="C5">
        <v>1595</v>
      </c>
      <c r="D5" t="s">
        <v>1168</v>
      </c>
    </row>
    <row r="6" spans="1:4" x14ac:dyDescent="0.35">
      <c r="A6">
        <v>50000581</v>
      </c>
      <c r="B6" t="s">
        <v>29</v>
      </c>
      <c r="C6">
        <v>2595</v>
      </c>
      <c r="D6" t="s">
        <v>1169</v>
      </c>
    </row>
    <row r="7" spans="1:4" x14ac:dyDescent="0.35">
      <c r="A7">
        <v>50000593</v>
      </c>
      <c r="B7" t="s">
        <v>34</v>
      </c>
      <c r="C7">
        <v>2075</v>
      </c>
      <c r="D7" t="s">
        <v>1170</v>
      </c>
    </row>
    <row r="8" spans="1:4" x14ac:dyDescent="0.35">
      <c r="A8">
        <v>50000682</v>
      </c>
      <c r="B8" t="s">
        <v>35</v>
      </c>
      <c r="C8">
        <v>699</v>
      </c>
      <c r="D8" t="s">
        <v>1171</v>
      </c>
    </row>
    <row r="9" spans="1:4" x14ac:dyDescent="0.35">
      <c r="A9">
        <v>50001773</v>
      </c>
      <c r="B9" t="s">
        <v>37</v>
      </c>
      <c r="C9">
        <v>1077</v>
      </c>
      <c r="D9" t="s">
        <v>1172</v>
      </c>
    </row>
    <row r="10" spans="1:4" x14ac:dyDescent="0.35">
      <c r="A10">
        <v>50004111</v>
      </c>
      <c r="B10" t="s">
        <v>40</v>
      </c>
      <c r="C10">
        <v>199.99</v>
      </c>
      <c r="D10" t="s">
        <v>1173</v>
      </c>
    </row>
    <row r="11" spans="1:4" x14ac:dyDescent="0.35">
      <c r="A11">
        <v>50006141</v>
      </c>
      <c r="B11" t="s">
        <v>42</v>
      </c>
      <c r="C11">
        <v>55.99</v>
      </c>
      <c r="D11" t="s">
        <v>1174</v>
      </c>
    </row>
    <row r="12" spans="1:4" x14ac:dyDescent="0.35">
      <c r="A12">
        <v>50007460</v>
      </c>
      <c r="B12" t="s">
        <v>45</v>
      </c>
      <c r="C12">
        <v>1699</v>
      </c>
      <c r="D12" t="s">
        <v>1175</v>
      </c>
    </row>
    <row r="13" spans="1:4" x14ac:dyDescent="0.35">
      <c r="A13">
        <v>50007472</v>
      </c>
      <c r="B13" t="s">
        <v>48</v>
      </c>
      <c r="C13">
        <v>1999</v>
      </c>
      <c r="D13" t="s">
        <v>1176</v>
      </c>
    </row>
    <row r="14" spans="1:4" x14ac:dyDescent="0.35">
      <c r="A14">
        <v>50007484</v>
      </c>
      <c r="B14" t="s">
        <v>50</v>
      </c>
      <c r="C14">
        <v>2899</v>
      </c>
      <c r="D14" t="s">
        <v>1177</v>
      </c>
    </row>
    <row r="15" spans="1:4" x14ac:dyDescent="0.35">
      <c r="A15">
        <v>50007509</v>
      </c>
      <c r="B15" t="s">
        <v>52</v>
      </c>
      <c r="C15">
        <v>3899</v>
      </c>
      <c r="D15" t="s">
        <v>1178</v>
      </c>
    </row>
    <row r="16" spans="1:4" x14ac:dyDescent="0.35">
      <c r="A16">
        <v>50007511</v>
      </c>
      <c r="B16" t="s">
        <v>53</v>
      </c>
      <c r="C16">
        <v>3899</v>
      </c>
      <c r="D16" t="s">
        <v>1179</v>
      </c>
    </row>
    <row r="17" spans="1:4" x14ac:dyDescent="0.35">
      <c r="A17">
        <v>50007523</v>
      </c>
      <c r="B17" t="s">
        <v>55</v>
      </c>
      <c r="C17">
        <v>2899</v>
      </c>
      <c r="D17" t="s">
        <v>1180</v>
      </c>
    </row>
    <row r="18" spans="1:4" x14ac:dyDescent="0.35">
      <c r="A18">
        <v>50007535</v>
      </c>
      <c r="B18" t="s">
        <v>56</v>
      </c>
      <c r="C18">
        <v>2899</v>
      </c>
      <c r="D18" t="s">
        <v>1181</v>
      </c>
    </row>
    <row r="19" spans="1:4" x14ac:dyDescent="0.35">
      <c r="A19">
        <v>50007559</v>
      </c>
      <c r="B19" t="s">
        <v>58</v>
      </c>
      <c r="C19">
        <v>2899</v>
      </c>
      <c r="D19" t="s">
        <v>1182</v>
      </c>
    </row>
    <row r="20" spans="1:4" x14ac:dyDescent="0.35">
      <c r="A20">
        <v>50007561</v>
      </c>
      <c r="B20" t="s">
        <v>60</v>
      </c>
      <c r="C20">
        <v>4199</v>
      </c>
      <c r="D20" t="s">
        <v>1183</v>
      </c>
    </row>
    <row r="21" spans="1:4" x14ac:dyDescent="0.35">
      <c r="A21">
        <v>50007573</v>
      </c>
      <c r="B21" t="s">
        <v>62</v>
      </c>
      <c r="C21">
        <v>4199</v>
      </c>
      <c r="D21" t="s">
        <v>1184</v>
      </c>
    </row>
    <row r="22" spans="1:4" x14ac:dyDescent="0.35">
      <c r="A22">
        <v>50007585</v>
      </c>
      <c r="B22" t="s">
        <v>63</v>
      </c>
      <c r="C22">
        <v>4199</v>
      </c>
      <c r="D22" t="s">
        <v>1185</v>
      </c>
    </row>
    <row r="23" spans="1:4" x14ac:dyDescent="0.35">
      <c r="A23">
        <v>50007597</v>
      </c>
      <c r="B23" t="s">
        <v>65</v>
      </c>
      <c r="C23">
        <v>6199</v>
      </c>
      <c r="D23" t="s">
        <v>1186</v>
      </c>
    </row>
    <row r="24" spans="1:4" x14ac:dyDescent="0.35">
      <c r="A24">
        <v>50007600</v>
      </c>
      <c r="B24" t="s">
        <v>66</v>
      </c>
      <c r="C24">
        <v>5199</v>
      </c>
      <c r="D24" t="s">
        <v>1187</v>
      </c>
    </row>
    <row r="25" spans="1:4" x14ac:dyDescent="0.35">
      <c r="A25">
        <v>50007612</v>
      </c>
      <c r="B25" t="s">
        <v>67</v>
      </c>
      <c r="C25">
        <v>5199</v>
      </c>
      <c r="D25" t="s">
        <v>1188</v>
      </c>
    </row>
    <row r="26" spans="1:4" x14ac:dyDescent="0.35">
      <c r="A26">
        <v>50007624</v>
      </c>
      <c r="B26" t="s">
        <v>69</v>
      </c>
      <c r="C26">
        <v>5199</v>
      </c>
      <c r="D26" t="s">
        <v>1189</v>
      </c>
    </row>
    <row r="27" spans="1:4" x14ac:dyDescent="0.35">
      <c r="A27">
        <v>50009870</v>
      </c>
      <c r="B27" t="s">
        <v>70</v>
      </c>
      <c r="C27">
        <v>797</v>
      </c>
      <c r="D27" t="s">
        <v>1190</v>
      </c>
    </row>
    <row r="28" spans="1:4" x14ac:dyDescent="0.35">
      <c r="A28">
        <v>50009882</v>
      </c>
      <c r="B28" t="s">
        <v>72</v>
      </c>
      <c r="C28">
        <v>795</v>
      </c>
      <c r="D28" t="s">
        <v>1191</v>
      </c>
    </row>
    <row r="29" spans="1:4" x14ac:dyDescent="0.35">
      <c r="A29">
        <v>50009894</v>
      </c>
      <c r="B29" t="s">
        <v>73</v>
      </c>
      <c r="C29">
        <v>1397</v>
      </c>
      <c r="D29" t="s">
        <v>1192</v>
      </c>
    </row>
    <row r="30" spans="1:4" x14ac:dyDescent="0.35">
      <c r="A30">
        <v>50009907</v>
      </c>
      <c r="B30" t="s">
        <v>75</v>
      </c>
      <c r="C30">
        <v>1597</v>
      </c>
      <c r="D30" t="s">
        <v>1193</v>
      </c>
    </row>
    <row r="31" spans="1:4" x14ac:dyDescent="0.35">
      <c r="A31">
        <v>50009933</v>
      </c>
      <c r="B31" t="s">
        <v>76</v>
      </c>
      <c r="C31">
        <v>577</v>
      </c>
      <c r="D31" t="s">
        <v>1194</v>
      </c>
    </row>
    <row r="32" spans="1:4" x14ac:dyDescent="0.35">
      <c r="A32">
        <v>50010570</v>
      </c>
      <c r="B32" t="s">
        <v>78</v>
      </c>
      <c r="C32">
        <v>447</v>
      </c>
      <c r="D32" t="s">
        <v>1195</v>
      </c>
    </row>
    <row r="33" spans="1:4" x14ac:dyDescent="0.35">
      <c r="A33">
        <v>50010671</v>
      </c>
      <c r="B33" t="s">
        <v>80</v>
      </c>
      <c r="C33">
        <v>695</v>
      </c>
      <c r="D33" t="s">
        <v>1196</v>
      </c>
    </row>
    <row r="34" spans="1:4" x14ac:dyDescent="0.35">
      <c r="A34">
        <v>50011053</v>
      </c>
      <c r="B34" t="s">
        <v>83</v>
      </c>
      <c r="C34">
        <v>445</v>
      </c>
      <c r="D34" t="s">
        <v>1197</v>
      </c>
    </row>
    <row r="35" spans="1:4" x14ac:dyDescent="0.35">
      <c r="A35">
        <v>50011065</v>
      </c>
      <c r="B35" t="s">
        <v>85</v>
      </c>
      <c r="C35">
        <v>495</v>
      </c>
      <c r="D35" t="s">
        <v>1198</v>
      </c>
    </row>
    <row r="36" spans="1:4" x14ac:dyDescent="0.35">
      <c r="A36">
        <v>50011077</v>
      </c>
      <c r="B36" t="s">
        <v>86</v>
      </c>
      <c r="C36">
        <v>595</v>
      </c>
      <c r="D36" t="s">
        <v>1199</v>
      </c>
    </row>
    <row r="37" spans="1:4" x14ac:dyDescent="0.35">
      <c r="A37">
        <v>50011154</v>
      </c>
      <c r="B37" t="s">
        <v>87</v>
      </c>
      <c r="C37">
        <v>277</v>
      </c>
      <c r="D37" t="s">
        <v>1200</v>
      </c>
    </row>
    <row r="38" spans="1:4" x14ac:dyDescent="0.35">
      <c r="A38">
        <v>50011231</v>
      </c>
      <c r="B38" t="s">
        <v>90</v>
      </c>
      <c r="C38">
        <v>327</v>
      </c>
      <c r="D38" t="s">
        <v>1201</v>
      </c>
    </row>
    <row r="39" spans="1:4" x14ac:dyDescent="0.35">
      <c r="A39">
        <v>50011267</v>
      </c>
      <c r="B39" t="s">
        <v>91</v>
      </c>
      <c r="C39">
        <v>427</v>
      </c>
      <c r="D39" t="s">
        <v>1202</v>
      </c>
    </row>
    <row r="40" spans="1:4" x14ac:dyDescent="0.35">
      <c r="A40">
        <v>50011293</v>
      </c>
      <c r="B40" t="s">
        <v>92</v>
      </c>
      <c r="C40">
        <v>277</v>
      </c>
      <c r="D40" t="s">
        <v>1203</v>
      </c>
    </row>
    <row r="41" spans="1:4" x14ac:dyDescent="0.35">
      <c r="A41">
        <v>50011318</v>
      </c>
      <c r="B41" t="s">
        <v>94</v>
      </c>
      <c r="C41">
        <v>347</v>
      </c>
      <c r="D41" t="s">
        <v>1204</v>
      </c>
    </row>
    <row r="42" spans="1:4" x14ac:dyDescent="0.35">
      <c r="A42">
        <v>50011320</v>
      </c>
      <c r="B42" t="s">
        <v>95</v>
      </c>
      <c r="C42">
        <v>477</v>
      </c>
      <c r="D42" t="s">
        <v>1205</v>
      </c>
    </row>
    <row r="43" spans="1:4" x14ac:dyDescent="0.35">
      <c r="A43">
        <v>50011332</v>
      </c>
      <c r="B43" t="s">
        <v>96</v>
      </c>
      <c r="C43">
        <v>577</v>
      </c>
      <c r="D43" t="s">
        <v>1206</v>
      </c>
    </row>
    <row r="44" spans="1:4" x14ac:dyDescent="0.35">
      <c r="A44">
        <v>50011344</v>
      </c>
      <c r="B44" t="s">
        <v>97</v>
      </c>
      <c r="C44">
        <v>647</v>
      </c>
      <c r="D44" t="s">
        <v>1207</v>
      </c>
    </row>
    <row r="45" spans="1:4" x14ac:dyDescent="0.35">
      <c r="A45">
        <v>50011356</v>
      </c>
      <c r="B45" t="s">
        <v>99</v>
      </c>
      <c r="C45">
        <v>747</v>
      </c>
      <c r="D45" t="s">
        <v>1208</v>
      </c>
    </row>
    <row r="46" spans="1:4" x14ac:dyDescent="0.35">
      <c r="A46">
        <v>50011368</v>
      </c>
      <c r="B46" t="s">
        <v>101</v>
      </c>
      <c r="C46">
        <v>547</v>
      </c>
      <c r="D46" t="s">
        <v>1209</v>
      </c>
    </row>
    <row r="47" spans="1:4" x14ac:dyDescent="0.35">
      <c r="A47">
        <v>50011370</v>
      </c>
      <c r="B47" t="s">
        <v>102</v>
      </c>
      <c r="C47">
        <v>329</v>
      </c>
      <c r="D47" t="s">
        <v>1210</v>
      </c>
    </row>
    <row r="48" spans="1:4" x14ac:dyDescent="0.35">
      <c r="A48">
        <v>50011382</v>
      </c>
      <c r="B48" t="s">
        <v>103</v>
      </c>
      <c r="C48">
        <v>627</v>
      </c>
      <c r="D48" t="s">
        <v>1211</v>
      </c>
    </row>
    <row r="49" spans="1:4" x14ac:dyDescent="0.35">
      <c r="A49">
        <v>50011445</v>
      </c>
      <c r="B49" t="s">
        <v>105</v>
      </c>
      <c r="C49">
        <v>947</v>
      </c>
      <c r="D49" t="s">
        <v>1212</v>
      </c>
    </row>
    <row r="50" spans="1:4" x14ac:dyDescent="0.35">
      <c r="A50">
        <v>50011457</v>
      </c>
      <c r="B50" t="s">
        <v>106</v>
      </c>
      <c r="C50">
        <v>1249.99</v>
      </c>
      <c r="D50" t="s">
        <v>1213</v>
      </c>
    </row>
    <row r="51" spans="1:4" x14ac:dyDescent="0.35">
      <c r="A51">
        <v>50011495</v>
      </c>
      <c r="B51" t="s">
        <v>107</v>
      </c>
      <c r="C51">
        <v>1449.99</v>
      </c>
      <c r="D51" t="s">
        <v>1214</v>
      </c>
    </row>
    <row r="52" spans="1:4" x14ac:dyDescent="0.35">
      <c r="A52">
        <v>50015594</v>
      </c>
      <c r="B52" t="s">
        <v>108</v>
      </c>
      <c r="C52">
        <v>845</v>
      </c>
      <c r="D52" t="s">
        <v>1215</v>
      </c>
    </row>
    <row r="53" spans="1:4" x14ac:dyDescent="0.35">
      <c r="A53">
        <v>50016166</v>
      </c>
      <c r="B53" t="s">
        <v>109</v>
      </c>
      <c r="C53">
        <v>1399</v>
      </c>
      <c r="D53" t="s">
        <v>1216</v>
      </c>
    </row>
    <row r="54" spans="1:4" x14ac:dyDescent="0.35">
      <c r="A54">
        <v>50016178</v>
      </c>
      <c r="B54" t="s">
        <v>110</v>
      </c>
      <c r="C54">
        <v>1999</v>
      </c>
      <c r="D54" t="s">
        <v>1217</v>
      </c>
    </row>
    <row r="55" spans="1:4" x14ac:dyDescent="0.35">
      <c r="A55">
        <v>50020862</v>
      </c>
      <c r="B55" t="s">
        <v>111</v>
      </c>
      <c r="C55">
        <v>797</v>
      </c>
      <c r="D55" t="s">
        <v>1218</v>
      </c>
    </row>
    <row r="56" spans="1:4" x14ac:dyDescent="0.35">
      <c r="A56">
        <v>50020898</v>
      </c>
      <c r="B56" t="s">
        <v>113</v>
      </c>
      <c r="C56">
        <v>997</v>
      </c>
      <c r="D56" t="s">
        <v>1219</v>
      </c>
    </row>
    <row r="57" spans="1:4" x14ac:dyDescent="0.35">
      <c r="A57">
        <v>50020913</v>
      </c>
      <c r="B57" t="s">
        <v>114</v>
      </c>
      <c r="C57">
        <v>997</v>
      </c>
      <c r="D57" t="s">
        <v>1220</v>
      </c>
    </row>
    <row r="58" spans="1:4" x14ac:dyDescent="0.35">
      <c r="A58">
        <v>50020925</v>
      </c>
      <c r="B58" t="s">
        <v>115</v>
      </c>
      <c r="C58">
        <v>1297</v>
      </c>
      <c r="D58" t="s">
        <v>1221</v>
      </c>
    </row>
    <row r="59" spans="1:4" x14ac:dyDescent="0.35">
      <c r="A59">
        <v>50022210</v>
      </c>
      <c r="B59" t="s">
        <v>116</v>
      </c>
      <c r="C59">
        <v>377</v>
      </c>
      <c r="D59" t="s">
        <v>1222</v>
      </c>
    </row>
    <row r="60" spans="1:4" x14ac:dyDescent="0.35">
      <c r="A60">
        <v>50025658</v>
      </c>
      <c r="B60" t="s">
        <v>119</v>
      </c>
      <c r="C60">
        <v>975</v>
      </c>
      <c r="D60" t="s">
        <v>1223</v>
      </c>
    </row>
    <row r="61" spans="1:4" x14ac:dyDescent="0.35">
      <c r="A61">
        <v>50025747</v>
      </c>
      <c r="B61" t="s">
        <v>120</v>
      </c>
      <c r="C61">
        <v>1329</v>
      </c>
      <c r="D61" t="s">
        <v>1224</v>
      </c>
    </row>
    <row r="62" spans="1:4" x14ac:dyDescent="0.35">
      <c r="A62">
        <v>50025759</v>
      </c>
      <c r="B62" t="s">
        <v>123</v>
      </c>
      <c r="C62">
        <v>1529</v>
      </c>
      <c r="D62" t="s">
        <v>1225</v>
      </c>
    </row>
    <row r="63" spans="1:4" x14ac:dyDescent="0.35">
      <c r="A63">
        <v>50025800</v>
      </c>
      <c r="B63" t="s">
        <v>125</v>
      </c>
      <c r="C63">
        <v>1829</v>
      </c>
      <c r="D63" t="s">
        <v>1226</v>
      </c>
    </row>
    <row r="64" spans="1:4" x14ac:dyDescent="0.35">
      <c r="A64">
        <v>50028957</v>
      </c>
      <c r="B64" t="s">
        <v>127</v>
      </c>
      <c r="C64">
        <v>877</v>
      </c>
      <c r="D64" t="s">
        <v>1227</v>
      </c>
    </row>
    <row r="65" spans="1:4" x14ac:dyDescent="0.35">
      <c r="A65">
        <v>50028969</v>
      </c>
      <c r="B65" t="s">
        <v>129</v>
      </c>
      <c r="C65">
        <v>645</v>
      </c>
      <c r="D65" t="s">
        <v>1228</v>
      </c>
    </row>
    <row r="66" spans="1:4" x14ac:dyDescent="0.35">
      <c r="A66">
        <v>50028971</v>
      </c>
      <c r="B66" t="s">
        <v>130</v>
      </c>
      <c r="C66">
        <v>977</v>
      </c>
      <c r="D66" t="s">
        <v>1229</v>
      </c>
    </row>
    <row r="67" spans="1:4" x14ac:dyDescent="0.35">
      <c r="A67">
        <v>50028983</v>
      </c>
      <c r="B67" t="s">
        <v>131</v>
      </c>
      <c r="C67">
        <v>1779</v>
      </c>
      <c r="D67" t="s">
        <v>1230</v>
      </c>
    </row>
    <row r="68" spans="1:4" x14ac:dyDescent="0.35">
      <c r="A68">
        <v>50029175</v>
      </c>
      <c r="B68" t="s">
        <v>133</v>
      </c>
      <c r="C68">
        <v>597</v>
      </c>
      <c r="D68" t="s">
        <v>1231</v>
      </c>
    </row>
    <row r="69" spans="1:4" x14ac:dyDescent="0.35">
      <c r="A69">
        <v>50029187</v>
      </c>
      <c r="B69" t="s">
        <v>136</v>
      </c>
      <c r="C69">
        <v>997</v>
      </c>
      <c r="D69" t="s">
        <v>1232</v>
      </c>
    </row>
    <row r="70" spans="1:4" x14ac:dyDescent="0.35">
      <c r="A70">
        <v>50029202</v>
      </c>
      <c r="B70" t="s">
        <v>137</v>
      </c>
      <c r="C70">
        <v>917</v>
      </c>
      <c r="D70" t="s">
        <v>1233</v>
      </c>
    </row>
    <row r="71" spans="1:4" x14ac:dyDescent="0.35">
      <c r="A71">
        <v>50029214</v>
      </c>
      <c r="B71" t="s">
        <v>139</v>
      </c>
      <c r="C71">
        <v>997</v>
      </c>
      <c r="D71" t="s">
        <v>1234</v>
      </c>
    </row>
    <row r="72" spans="1:4" x14ac:dyDescent="0.35">
      <c r="A72">
        <v>50029240</v>
      </c>
      <c r="B72" t="s">
        <v>142</v>
      </c>
      <c r="C72">
        <v>1217</v>
      </c>
      <c r="D72" t="s">
        <v>1235</v>
      </c>
    </row>
    <row r="73" spans="1:4" x14ac:dyDescent="0.35">
      <c r="A73">
        <v>50029252</v>
      </c>
      <c r="B73" t="s">
        <v>143</v>
      </c>
      <c r="C73">
        <v>1419</v>
      </c>
      <c r="D73" t="s">
        <v>1236</v>
      </c>
    </row>
    <row r="74" spans="1:4" x14ac:dyDescent="0.35">
      <c r="A74">
        <v>50029264</v>
      </c>
      <c r="B74" t="s">
        <v>144</v>
      </c>
      <c r="C74">
        <v>1719</v>
      </c>
      <c r="D74" t="s">
        <v>1237</v>
      </c>
    </row>
    <row r="75" spans="1:4" x14ac:dyDescent="0.35">
      <c r="A75">
        <v>50037057</v>
      </c>
      <c r="B75" t="s">
        <v>145</v>
      </c>
      <c r="C75">
        <v>1549</v>
      </c>
      <c r="D75" t="s">
        <v>1238</v>
      </c>
    </row>
    <row r="76" spans="1:4" x14ac:dyDescent="0.35">
      <c r="A76">
        <v>50037069</v>
      </c>
      <c r="B76" t="s">
        <v>148</v>
      </c>
      <c r="C76">
        <v>1949</v>
      </c>
      <c r="D76" t="s">
        <v>1239</v>
      </c>
    </row>
    <row r="77" spans="1:4" x14ac:dyDescent="0.35">
      <c r="A77">
        <v>50037071</v>
      </c>
      <c r="B77" t="s">
        <v>149</v>
      </c>
      <c r="C77">
        <v>1949</v>
      </c>
      <c r="D77" t="s">
        <v>1240</v>
      </c>
    </row>
    <row r="78" spans="1:4" x14ac:dyDescent="0.35">
      <c r="A78">
        <v>50037083</v>
      </c>
      <c r="B78" t="s">
        <v>150</v>
      </c>
      <c r="C78">
        <v>2249</v>
      </c>
      <c r="D78" t="s">
        <v>1241</v>
      </c>
    </row>
    <row r="79" spans="1:4" x14ac:dyDescent="0.35">
      <c r="A79">
        <v>50037095</v>
      </c>
      <c r="B79" t="s">
        <v>151</v>
      </c>
      <c r="C79">
        <v>2249</v>
      </c>
      <c r="D79" t="s">
        <v>1242</v>
      </c>
    </row>
    <row r="80" spans="1:4" x14ac:dyDescent="0.35">
      <c r="A80">
        <v>50037110</v>
      </c>
      <c r="B80" t="s">
        <v>152</v>
      </c>
      <c r="C80">
        <v>2249</v>
      </c>
      <c r="D80" t="s">
        <v>1243</v>
      </c>
    </row>
    <row r="81" spans="1:4" x14ac:dyDescent="0.35">
      <c r="A81">
        <v>50037122</v>
      </c>
      <c r="B81" t="s">
        <v>153</v>
      </c>
      <c r="C81">
        <v>2549</v>
      </c>
      <c r="D81" t="s">
        <v>1244</v>
      </c>
    </row>
    <row r="82" spans="1:4" x14ac:dyDescent="0.35">
      <c r="A82">
        <v>50037134</v>
      </c>
      <c r="B82" t="s">
        <v>154</v>
      </c>
      <c r="C82">
        <v>2549</v>
      </c>
      <c r="D82" t="s">
        <v>1245</v>
      </c>
    </row>
    <row r="83" spans="1:4" x14ac:dyDescent="0.35">
      <c r="A83">
        <v>50037146</v>
      </c>
      <c r="B83" t="s">
        <v>156</v>
      </c>
      <c r="C83">
        <v>2549</v>
      </c>
      <c r="D83" t="s">
        <v>1246</v>
      </c>
    </row>
    <row r="84" spans="1:4" x14ac:dyDescent="0.35">
      <c r="A84">
        <v>50037158</v>
      </c>
      <c r="B84" t="s">
        <v>157</v>
      </c>
      <c r="C84">
        <v>2749</v>
      </c>
      <c r="D84" t="s">
        <v>1247</v>
      </c>
    </row>
    <row r="85" spans="1:4" x14ac:dyDescent="0.35">
      <c r="A85">
        <v>50037160</v>
      </c>
      <c r="B85" t="s">
        <v>158</v>
      </c>
      <c r="C85">
        <v>2749</v>
      </c>
      <c r="D85" t="s">
        <v>1248</v>
      </c>
    </row>
    <row r="86" spans="1:4" x14ac:dyDescent="0.35">
      <c r="A86">
        <v>50037172</v>
      </c>
      <c r="B86" t="s">
        <v>159</v>
      </c>
      <c r="C86">
        <v>3249</v>
      </c>
      <c r="D86" t="s">
        <v>1249</v>
      </c>
    </row>
    <row r="87" spans="1:4" x14ac:dyDescent="0.35">
      <c r="A87">
        <v>50037184</v>
      </c>
      <c r="B87" t="s">
        <v>160</v>
      </c>
      <c r="C87">
        <v>3249</v>
      </c>
      <c r="D87" t="s">
        <v>1250</v>
      </c>
    </row>
    <row r="88" spans="1:4" x14ac:dyDescent="0.35">
      <c r="A88">
        <v>50037196</v>
      </c>
      <c r="B88" t="s">
        <v>161</v>
      </c>
      <c r="C88">
        <v>3249</v>
      </c>
      <c r="D88" t="s">
        <v>1251</v>
      </c>
    </row>
    <row r="89" spans="1:4" x14ac:dyDescent="0.35">
      <c r="A89">
        <v>50037209</v>
      </c>
      <c r="B89" t="s">
        <v>162</v>
      </c>
      <c r="C89">
        <v>3649</v>
      </c>
      <c r="D89" t="s">
        <v>1252</v>
      </c>
    </row>
    <row r="90" spans="1:4" x14ac:dyDescent="0.35">
      <c r="A90">
        <v>50037211</v>
      </c>
      <c r="B90" t="s">
        <v>164</v>
      </c>
      <c r="C90">
        <v>3649</v>
      </c>
      <c r="D90" t="s">
        <v>1253</v>
      </c>
    </row>
    <row r="91" spans="1:4" x14ac:dyDescent="0.35">
      <c r="A91">
        <v>50037223</v>
      </c>
      <c r="B91" t="s">
        <v>165</v>
      </c>
      <c r="C91">
        <v>3649</v>
      </c>
      <c r="D91" t="s">
        <v>1254</v>
      </c>
    </row>
    <row r="92" spans="1:4" x14ac:dyDescent="0.35">
      <c r="A92">
        <v>50037235</v>
      </c>
      <c r="B92" t="s">
        <v>166</v>
      </c>
      <c r="C92">
        <v>4649</v>
      </c>
      <c r="D92" t="s">
        <v>1255</v>
      </c>
    </row>
    <row r="93" spans="1:4" x14ac:dyDescent="0.35">
      <c r="A93">
        <v>50037259</v>
      </c>
      <c r="B93" t="s">
        <v>167</v>
      </c>
      <c r="C93">
        <v>4649</v>
      </c>
      <c r="D93" t="s">
        <v>1256</v>
      </c>
    </row>
    <row r="94" spans="1:4" x14ac:dyDescent="0.35">
      <c r="A94">
        <v>50037261</v>
      </c>
      <c r="B94" t="s">
        <v>168</v>
      </c>
      <c r="C94">
        <v>4649</v>
      </c>
      <c r="D94" t="s">
        <v>1257</v>
      </c>
    </row>
    <row r="95" spans="1:4" x14ac:dyDescent="0.35">
      <c r="A95">
        <v>50037285</v>
      </c>
      <c r="B95" t="s">
        <v>169</v>
      </c>
      <c r="C95">
        <v>1549</v>
      </c>
      <c r="D95" t="s">
        <v>1258</v>
      </c>
    </row>
    <row r="96" spans="1:4" x14ac:dyDescent="0.35">
      <c r="A96">
        <v>50037297</v>
      </c>
      <c r="B96" t="s">
        <v>170</v>
      </c>
      <c r="C96">
        <v>2149</v>
      </c>
      <c r="D96" t="s">
        <v>1259</v>
      </c>
    </row>
    <row r="97" spans="1:4" x14ac:dyDescent="0.35">
      <c r="A97">
        <v>50037312</v>
      </c>
      <c r="B97" t="s">
        <v>171</v>
      </c>
      <c r="C97">
        <v>2749</v>
      </c>
      <c r="D97" t="s">
        <v>1260</v>
      </c>
    </row>
    <row r="98" spans="1:4" x14ac:dyDescent="0.35">
      <c r="A98">
        <v>50037324</v>
      </c>
      <c r="B98" t="s">
        <v>172</v>
      </c>
      <c r="C98">
        <v>3049</v>
      </c>
      <c r="D98" t="s">
        <v>1261</v>
      </c>
    </row>
    <row r="99" spans="1:4" x14ac:dyDescent="0.35">
      <c r="A99">
        <v>50037336</v>
      </c>
      <c r="B99" t="s">
        <v>173</v>
      </c>
      <c r="C99">
        <v>3149</v>
      </c>
      <c r="D99" t="s">
        <v>1262</v>
      </c>
    </row>
    <row r="100" spans="1:4" x14ac:dyDescent="0.35">
      <c r="A100">
        <v>50037348</v>
      </c>
      <c r="B100" t="s">
        <v>174</v>
      </c>
      <c r="C100">
        <v>3149</v>
      </c>
      <c r="D100" t="s">
        <v>1263</v>
      </c>
    </row>
    <row r="101" spans="1:4" x14ac:dyDescent="0.35">
      <c r="A101">
        <v>50037350</v>
      </c>
      <c r="B101" t="s">
        <v>175</v>
      </c>
      <c r="C101">
        <v>3649</v>
      </c>
      <c r="D101" t="s">
        <v>1264</v>
      </c>
    </row>
    <row r="102" spans="1:4" x14ac:dyDescent="0.35">
      <c r="A102">
        <v>50037398</v>
      </c>
      <c r="B102" t="s">
        <v>176</v>
      </c>
      <c r="C102">
        <v>4649</v>
      </c>
      <c r="D102" t="s">
        <v>1265</v>
      </c>
    </row>
    <row r="103" spans="1:4" x14ac:dyDescent="0.35">
      <c r="A103">
        <v>50047995</v>
      </c>
      <c r="B103" t="s">
        <v>177</v>
      </c>
      <c r="C103">
        <v>1899</v>
      </c>
      <c r="D103" t="s">
        <v>1266</v>
      </c>
    </row>
    <row r="104" spans="1:4" x14ac:dyDescent="0.35">
      <c r="A104">
        <v>50048000</v>
      </c>
      <c r="B104" t="s">
        <v>179</v>
      </c>
      <c r="C104">
        <v>1699</v>
      </c>
      <c r="D104" t="s">
        <v>1267</v>
      </c>
    </row>
    <row r="105" spans="1:4" x14ac:dyDescent="0.35">
      <c r="A105">
        <v>50048012</v>
      </c>
      <c r="B105" t="s">
        <v>180</v>
      </c>
      <c r="C105">
        <v>1899</v>
      </c>
      <c r="D105" t="s">
        <v>1268</v>
      </c>
    </row>
    <row r="106" spans="1:4" x14ac:dyDescent="0.35">
      <c r="A106">
        <v>50048024</v>
      </c>
      <c r="B106" t="s">
        <v>181</v>
      </c>
      <c r="C106">
        <v>2299</v>
      </c>
      <c r="D106" t="s">
        <v>1269</v>
      </c>
    </row>
    <row r="107" spans="1:4" x14ac:dyDescent="0.35">
      <c r="A107">
        <v>50048036</v>
      </c>
      <c r="B107" t="s">
        <v>183</v>
      </c>
      <c r="C107">
        <v>2299</v>
      </c>
      <c r="D107" t="s">
        <v>1270</v>
      </c>
    </row>
    <row r="108" spans="1:4" x14ac:dyDescent="0.35">
      <c r="A108">
        <v>50048048</v>
      </c>
      <c r="B108" t="s">
        <v>184</v>
      </c>
      <c r="C108">
        <v>2299</v>
      </c>
      <c r="D108" t="s">
        <v>1271</v>
      </c>
    </row>
    <row r="109" spans="1:4" x14ac:dyDescent="0.35">
      <c r="A109">
        <v>50048050</v>
      </c>
      <c r="B109" t="s">
        <v>185</v>
      </c>
      <c r="C109">
        <v>2499</v>
      </c>
      <c r="D109" t="s">
        <v>1272</v>
      </c>
    </row>
    <row r="110" spans="1:4" x14ac:dyDescent="0.35">
      <c r="A110">
        <v>50048062</v>
      </c>
      <c r="B110" t="s">
        <v>186</v>
      </c>
      <c r="C110">
        <v>2499</v>
      </c>
      <c r="D110" t="s">
        <v>1273</v>
      </c>
    </row>
    <row r="111" spans="1:4" x14ac:dyDescent="0.35">
      <c r="A111">
        <v>50048074</v>
      </c>
      <c r="B111" t="s">
        <v>187</v>
      </c>
      <c r="C111">
        <v>3099</v>
      </c>
      <c r="D111" t="s">
        <v>1274</v>
      </c>
    </row>
    <row r="112" spans="1:4" x14ac:dyDescent="0.35">
      <c r="A112">
        <v>50048098</v>
      </c>
      <c r="B112" t="s">
        <v>189</v>
      </c>
      <c r="C112">
        <v>3099</v>
      </c>
      <c r="D112" t="s">
        <v>1275</v>
      </c>
    </row>
    <row r="113" spans="1:4" x14ac:dyDescent="0.35">
      <c r="A113">
        <v>50048101</v>
      </c>
      <c r="B113" t="s">
        <v>190</v>
      </c>
      <c r="C113">
        <v>3399</v>
      </c>
      <c r="D113" t="s">
        <v>1276</v>
      </c>
    </row>
    <row r="114" spans="1:4" x14ac:dyDescent="0.35">
      <c r="A114">
        <v>50048113</v>
      </c>
      <c r="B114" t="s">
        <v>191</v>
      </c>
      <c r="C114">
        <v>3399</v>
      </c>
      <c r="D114" t="s">
        <v>1277</v>
      </c>
    </row>
    <row r="115" spans="1:4" x14ac:dyDescent="0.35">
      <c r="A115">
        <v>50048125</v>
      </c>
      <c r="B115" t="s">
        <v>192</v>
      </c>
      <c r="C115">
        <v>3699</v>
      </c>
      <c r="D115" t="s">
        <v>1278</v>
      </c>
    </row>
    <row r="116" spans="1:4" x14ac:dyDescent="0.35">
      <c r="A116">
        <v>50048151</v>
      </c>
      <c r="B116" t="s">
        <v>193</v>
      </c>
      <c r="C116">
        <v>3499</v>
      </c>
      <c r="D116" t="s">
        <v>1279</v>
      </c>
    </row>
    <row r="117" spans="1:4" x14ac:dyDescent="0.35">
      <c r="A117">
        <v>50048199</v>
      </c>
      <c r="B117" t="s">
        <v>194</v>
      </c>
      <c r="C117">
        <v>4699</v>
      </c>
      <c r="D117" t="s">
        <v>1280</v>
      </c>
    </row>
    <row r="118" spans="1:4" x14ac:dyDescent="0.35">
      <c r="A118">
        <v>50048214</v>
      </c>
      <c r="B118" t="s">
        <v>195</v>
      </c>
      <c r="C118">
        <v>5399</v>
      </c>
      <c r="D118" t="s">
        <v>1281</v>
      </c>
    </row>
    <row r="119" spans="1:4" x14ac:dyDescent="0.35">
      <c r="A119">
        <v>50048238</v>
      </c>
      <c r="B119" t="s">
        <v>196</v>
      </c>
      <c r="C119">
        <v>5399</v>
      </c>
      <c r="D119" t="s">
        <v>1282</v>
      </c>
    </row>
    <row r="120" spans="1:4" x14ac:dyDescent="0.35">
      <c r="A120">
        <v>50048276</v>
      </c>
      <c r="B120" t="s">
        <v>197</v>
      </c>
      <c r="C120">
        <v>4099</v>
      </c>
      <c r="D120" t="s">
        <v>1283</v>
      </c>
    </row>
    <row r="121" spans="1:4" x14ac:dyDescent="0.35">
      <c r="A121">
        <v>50048290</v>
      </c>
      <c r="B121" t="s">
        <v>199</v>
      </c>
      <c r="C121">
        <v>3349</v>
      </c>
      <c r="D121" t="s">
        <v>1284</v>
      </c>
    </row>
    <row r="122" spans="1:4" x14ac:dyDescent="0.35">
      <c r="A122">
        <v>50070108</v>
      </c>
      <c r="B122" t="s">
        <v>200</v>
      </c>
      <c r="C122">
        <v>899</v>
      </c>
      <c r="D122" t="s">
        <v>1285</v>
      </c>
    </row>
    <row r="123" spans="1:4" x14ac:dyDescent="0.35">
      <c r="A123">
        <v>50070110</v>
      </c>
      <c r="B123" t="s">
        <v>202</v>
      </c>
      <c r="C123">
        <v>1548</v>
      </c>
      <c r="D123" t="s">
        <v>1286</v>
      </c>
    </row>
    <row r="124" spans="1:4" x14ac:dyDescent="0.35">
      <c r="A124">
        <v>50070122</v>
      </c>
      <c r="B124" t="s">
        <v>203</v>
      </c>
      <c r="C124">
        <v>2199</v>
      </c>
      <c r="D124" t="s">
        <v>1287</v>
      </c>
    </row>
    <row r="125" spans="1:4" x14ac:dyDescent="0.35">
      <c r="A125">
        <v>50100115</v>
      </c>
      <c r="B125" t="s">
        <v>204</v>
      </c>
      <c r="C125">
        <v>89</v>
      </c>
      <c r="D125" t="s">
        <v>1288</v>
      </c>
    </row>
    <row r="126" spans="1:4" x14ac:dyDescent="0.35">
      <c r="A126">
        <v>50100127</v>
      </c>
      <c r="B126" t="s">
        <v>206</v>
      </c>
      <c r="C126">
        <v>115</v>
      </c>
      <c r="D126" t="s">
        <v>1289</v>
      </c>
    </row>
    <row r="127" spans="1:4" x14ac:dyDescent="0.35">
      <c r="A127">
        <v>50100139</v>
      </c>
      <c r="B127" t="s">
        <v>207</v>
      </c>
      <c r="C127">
        <v>175</v>
      </c>
      <c r="D127" t="s">
        <v>1290</v>
      </c>
    </row>
    <row r="128" spans="1:4" x14ac:dyDescent="0.35">
      <c r="A128">
        <v>50100141</v>
      </c>
      <c r="B128" t="s">
        <v>208</v>
      </c>
      <c r="C128">
        <v>195</v>
      </c>
      <c r="D128" t="s">
        <v>1291</v>
      </c>
    </row>
    <row r="129" spans="1:4" x14ac:dyDescent="0.35">
      <c r="A129">
        <v>50100545</v>
      </c>
      <c r="B129" t="s">
        <v>209</v>
      </c>
      <c r="C129">
        <v>799</v>
      </c>
      <c r="D129" t="s">
        <v>1165</v>
      </c>
    </row>
    <row r="130" spans="1:4" x14ac:dyDescent="0.35">
      <c r="A130">
        <v>50100557</v>
      </c>
      <c r="B130" t="s">
        <v>210</v>
      </c>
      <c r="C130">
        <v>599</v>
      </c>
      <c r="D130" t="s">
        <v>1166</v>
      </c>
    </row>
    <row r="131" spans="1:4" x14ac:dyDescent="0.35">
      <c r="A131">
        <v>50100569</v>
      </c>
      <c r="B131" t="s">
        <v>211</v>
      </c>
      <c r="C131">
        <v>1195</v>
      </c>
      <c r="D131" t="s">
        <v>1167</v>
      </c>
    </row>
    <row r="132" spans="1:4" x14ac:dyDescent="0.35">
      <c r="A132">
        <v>50100684</v>
      </c>
      <c r="B132" t="s">
        <v>212</v>
      </c>
      <c r="C132">
        <v>649</v>
      </c>
      <c r="D132" t="s">
        <v>1171</v>
      </c>
    </row>
    <row r="133" spans="1:4" x14ac:dyDescent="0.35">
      <c r="A133">
        <v>50101775</v>
      </c>
      <c r="B133" t="s">
        <v>214</v>
      </c>
      <c r="C133">
        <v>977</v>
      </c>
      <c r="D133" t="s">
        <v>1172</v>
      </c>
    </row>
    <row r="134" spans="1:4" x14ac:dyDescent="0.35">
      <c r="A134">
        <v>50101787</v>
      </c>
      <c r="B134" t="s">
        <v>215</v>
      </c>
      <c r="C134">
        <v>699</v>
      </c>
      <c r="D134" t="s">
        <v>1292</v>
      </c>
    </row>
    <row r="135" spans="1:4" x14ac:dyDescent="0.35">
      <c r="A135">
        <v>50102260</v>
      </c>
      <c r="B135" t="s">
        <v>216</v>
      </c>
      <c r="C135">
        <v>238</v>
      </c>
      <c r="D135" t="s">
        <v>1293</v>
      </c>
    </row>
    <row r="136" spans="1:4" x14ac:dyDescent="0.35">
      <c r="A136">
        <v>50102272</v>
      </c>
      <c r="B136" t="s">
        <v>218</v>
      </c>
      <c r="C136">
        <v>255</v>
      </c>
      <c r="D136" t="s">
        <v>1294</v>
      </c>
    </row>
    <row r="137" spans="1:4" x14ac:dyDescent="0.35">
      <c r="A137">
        <v>50102284</v>
      </c>
      <c r="B137" t="s">
        <v>219</v>
      </c>
      <c r="C137">
        <v>298</v>
      </c>
      <c r="D137" t="s">
        <v>1295</v>
      </c>
    </row>
    <row r="138" spans="1:4" x14ac:dyDescent="0.35">
      <c r="A138">
        <v>50102296</v>
      </c>
      <c r="B138" t="s">
        <v>221</v>
      </c>
      <c r="C138">
        <v>377</v>
      </c>
      <c r="D138" t="s">
        <v>1296</v>
      </c>
    </row>
    <row r="139" spans="1:4" x14ac:dyDescent="0.35">
      <c r="A139">
        <v>50107462</v>
      </c>
      <c r="B139" t="s">
        <v>223</v>
      </c>
      <c r="C139">
        <v>1699</v>
      </c>
      <c r="D139" t="s">
        <v>1175</v>
      </c>
    </row>
    <row r="140" spans="1:4" x14ac:dyDescent="0.35">
      <c r="A140">
        <v>50107474</v>
      </c>
      <c r="B140" t="s">
        <v>224</v>
      </c>
      <c r="C140">
        <v>1999</v>
      </c>
      <c r="D140" t="s">
        <v>1176</v>
      </c>
    </row>
    <row r="141" spans="1:4" x14ac:dyDescent="0.35">
      <c r="A141">
        <v>50107486</v>
      </c>
      <c r="B141" t="s">
        <v>225</v>
      </c>
      <c r="C141">
        <v>2899</v>
      </c>
      <c r="D141" t="s">
        <v>1177</v>
      </c>
    </row>
    <row r="142" spans="1:4" x14ac:dyDescent="0.35">
      <c r="A142">
        <v>50107525</v>
      </c>
      <c r="B142" t="s">
        <v>226</v>
      </c>
      <c r="C142">
        <v>2899</v>
      </c>
      <c r="D142" t="s">
        <v>1180</v>
      </c>
    </row>
    <row r="143" spans="1:4" x14ac:dyDescent="0.35">
      <c r="A143">
        <v>50107537</v>
      </c>
      <c r="B143" t="s">
        <v>227</v>
      </c>
      <c r="C143">
        <v>2899</v>
      </c>
      <c r="D143" t="s">
        <v>1181</v>
      </c>
    </row>
    <row r="144" spans="1:4" x14ac:dyDescent="0.35">
      <c r="A144">
        <v>50107551</v>
      </c>
      <c r="B144" t="s">
        <v>228</v>
      </c>
      <c r="C144">
        <v>2899</v>
      </c>
      <c r="D144" t="s">
        <v>1182</v>
      </c>
    </row>
    <row r="145" spans="1:4" x14ac:dyDescent="0.35">
      <c r="A145">
        <v>50109872</v>
      </c>
      <c r="B145" t="s">
        <v>229</v>
      </c>
      <c r="C145">
        <v>597</v>
      </c>
      <c r="D145" t="s">
        <v>1190</v>
      </c>
    </row>
    <row r="146" spans="1:4" x14ac:dyDescent="0.35">
      <c r="A146">
        <v>50109884</v>
      </c>
      <c r="B146" t="s">
        <v>230</v>
      </c>
      <c r="C146">
        <v>695</v>
      </c>
      <c r="D146" t="s">
        <v>1191</v>
      </c>
    </row>
    <row r="147" spans="1:4" x14ac:dyDescent="0.35">
      <c r="A147">
        <v>50109896</v>
      </c>
      <c r="B147" t="s">
        <v>231</v>
      </c>
      <c r="C147">
        <v>1297</v>
      </c>
      <c r="D147" t="s">
        <v>1192</v>
      </c>
    </row>
    <row r="148" spans="1:4" x14ac:dyDescent="0.35">
      <c r="A148">
        <v>50109909</v>
      </c>
      <c r="B148" t="s">
        <v>232</v>
      </c>
      <c r="C148">
        <v>1497</v>
      </c>
      <c r="D148" t="s">
        <v>1193</v>
      </c>
    </row>
    <row r="149" spans="1:4" x14ac:dyDescent="0.35">
      <c r="A149">
        <v>50109923</v>
      </c>
      <c r="B149" t="s">
        <v>233</v>
      </c>
      <c r="C149">
        <v>477</v>
      </c>
      <c r="D149" t="s">
        <v>1297</v>
      </c>
    </row>
    <row r="150" spans="1:4" x14ac:dyDescent="0.35">
      <c r="A150">
        <v>50109935</v>
      </c>
      <c r="B150" t="s">
        <v>235</v>
      </c>
      <c r="C150">
        <v>527</v>
      </c>
      <c r="D150" t="s">
        <v>1194</v>
      </c>
    </row>
    <row r="151" spans="1:4" x14ac:dyDescent="0.35">
      <c r="A151">
        <v>50110572</v>
      </c>
      <c r="B151" t="s">
        <v>236</v>
      </c>
      <c r="C151">
        <v>397</v>
      </c>
      <c r="D151" t="s">
        <v>1195</v>
      </c>
    </row>
    <row r="152" spans="1:4" x14ac:dyDescent="0.35">
      <c r="A152">
        <v>50110673</v>
      </c>
      <c r="B152" t="s">
        <v>237</v>
      </c>
      <c r="C152">
        <v>595</v>
      </c>
      <c r="D152" t="s">
        <v>1196</v>
      </c>
    </row>
    <row r="153" spans="1:4" x14ac:dyDescent="0.35">
      <c r="A153">
        <v>50110938</v>
      </c>
      <c r="B153" t="s">
        <v>238</v>
      </c>
      <c r="C153">
        <v>177</v>
      </c>
      <c r="D153" t="s">
        <v>1298</v>
      </c>
    </row>
    <row r="154" spans="1:4" x14ac:dyDescent="0.35">
      <c r="A154">
        <v>50110940</v>
      </c>
      <c r="B154" t="s">
        <v>241</v>
      </c>
      <c r="C154">
        <v>277</v>
      </c>
      <c r="D154" t="s">
        <v>1299</v>
      </c>
    </row>
    <row r="155" spans="1:4" x14ac:dyDescent="0.35">
      <c r="A155">
        <v>50110952</v>
      </c>
      <c r="B155" t="s">
        <v>243</v>
      </c>
      <c r="C155">
        <v>327</v>
      </c>
      <c r="D155" t="s">
        <v>1300</v>
      </c>
    </row>
    <row r="156" spans="1:4" x14ac:dyDescent="0.35">
      <c r="A156">
        <v>50110964</v>
      </c>
      <c r="B156" t="s">
        <v>245</v>
      </c>
      <c r="C156">
        <v>377</v>
      </c>
      <c r="D156" t="s">
        <v>1301</v>
      </c>
    </row>
    <row r="157" spans="1:4" x14ac:dyDescent="0.35">
      <c r="A157">
        <v>50111055</v>
      </c>
      <c r="B157" t="s">
        <v>246</v>
      </c>
      <c r="C157">
        <v>345</v>
      </c>
      <c r="D157" t="s">
        <v>1197</v>
      </c>
    </row>
    <row r="158" spans="1:4" x14ac:dyDescent="0.35">
      <c r="A158">
        <v>50111067</v>
      </c>
      <c r="B158" t="s">
        <v>248</v>
      </c>
      <c r="C158">
        <v>395</v>
      </c>
      <c r="D158" t="s">
        <v>1198</v>
      </c>
    </row>
    <row r="159" spans="1:4" x14ac:dyDescent="0.35">
      <c r="A159">
        <v>50111079</v>
      </c>
      <c r="B159" t="s">
        <v>250</v>
      </c>
      <c r="C159">
        <v>495</v>
      </c>
      <c r="D159" t="s">
        <v>1199</v>
      </c>
    </row>
    <row r="160" spans="1:4" x14ac:dyDescent="0.35">
      <c r="A160">
        <v>50111144</v>
      </c>
      <c r="B160" t="s">
        <v>252</v>
      </c>
      <c r="C160">
        <v>99</v>
      </c>
      <c r="D160" t="s">
        <v>1302</v>
      </c>
    </row>
    <row r="161" spans="1:4" x14ac:dyDescent="0.35">
      <c r="A161">
        <v>50111156</v>
      </c>
      <c r="B161" t="s">
        <v>254</v>
      </c>
      <c r="C161">
        <v>227</v>
      </c>
      <c r="D161" t="s">
        <v>1200</v>
      </c>
    </row>
    <row r="162" spans="1:4" x14ac:dyDescent="0.35">
      <c r="A162">
        <v>50111168</v>
      </c>
      <c r="B162" t="s">
        <v>255</v>
      </c>
      <c r="C162">
        <v>377</v>
      </c>
      <c r="D162" t="s">
        <v>1303</v>
      </c>
    </row>
    <row r="163" spans="1:4" x14ac:dyDescent="0.35">
      <c r="A163">
        <v>50111170</v>
      </c>
      <c r="B163" t="s">
        <v>257</v>
      </c>
      <c r="C163">
        <v>427</v>
      </c>
      <c r="D163" t="s">
        <v>1304</v>
      </c>
    </row>
    <row r="164" spans="1:4" x14ac:dyDescent="0.35">
      <c r="A164">
        <v>50111219</v>
      </c>
      <c r="B164" t="s">
        <v>259</v>
      </c>
      <c r="C164">
        <v>177</v>
      </c>
      <c r="D164" t="s">
        <v>1305</v>
      </c>
    </row>
    <row r="165" spans="1:4" x14ac:dyDescent="0.35">
      <c r="A165">
        <v>50111233</v>
      </c>
      <c r="B165" t="s">
        <v>260</v>
      </c>
      <c r="C165">
        <v>277</v>
      </c>
      <c r="D165" t="s">
        <v>1201</v>
      </c>
    </row>
    <row r="166" spans="1:4" x14ac:dyDescent="0.35">
      <c r="A166">
        <v>50111245</v>
      </c>
      <c r="B166" t="s">
        <v>262</v>
      </c>
      <c r="C166">
        <v>377</v>
      </c>
      <c r="D166" t="s">
        <v>1306</v>
      </c>
    </row>
    <row r="167" spans="1:4" x14ac:dyDescent="0.35">
      <c r="A167">
        <v>50111257</v>
      </c>
      <c r="B167" t="s">
        <v>263</v>
      </c>
      <c r="C167">
        <v>227</v>
      </c>
      <c r="D167" t="s">
        <v>1307</v>
      </c>
    </row>
    <row r="168" spans="1:4" x14ac:dyDescent="0.35">
      <c r="A168">
        <v>50111269</v>
      </c>
      <c r="B168" t="s">
        <v>264</v>
      </c>
      <c r="C168">
        <v>327</v>
      </c>
      <c r="D168" t="s">
        <v>1202</v>
      </c>
    </row>
    <row r="169" spans="1:4" x14ac:dyDescent="0.35">
      <c r="A169">
        <v>50111271</v>
      </c>
      <c r="B169" t="s">
        <v>266</v>
      </c>
      <c r="C169">
        <v>377</v>
      </c>
      <c r="D169" t="s">
        <v>1308</v>
      </c>
    </row>
    <row r="170" spans="1:4" x14ac:dyDescent="0.35">
      <c r="A170">
        <v>50111295</v>
      </c>
      <c r="B170" t="s">
        <v>267</v>
      </c>
      <c r="C170">
        <v>247</v>
      </c>
      <c r="D170" t="s">
        <v>1203</v>
      </c>
    </row>
    <row r="171" spans="1:4" x14ac:dyDescent="0.35">
      <c r="A171">
        <v>50111310</v>
      </c>
      <c r="B171" t="s">
        <v>268</v>
      </c>
      <c r="C171">
        <v>297</v>
      </c>
      <c r="D171" t="s">
        <v>1204</v>
      </c>
    </row>
    <row r="172" spans="1:4" x14ac:dyDescent="0.35">
      <c r="A172">
        <v>50111322</v>
      </c>
      <c r="B172" t="s">
        <v>269</v>
      </c>
      <c r="C172">
        <v>447</v>
      </c>
      <c r="D172" t="s">
        <v>1205</v>
      </c>
    </row>
    <row r="173" spans="1:4" x14ac:dyDescent="0.35">
      <c r="A173">
        <v>50111334</v>
      </c>
      <c r="B173" t="s">
        <v>270</v>
      </c>
      <c r="C173">
        <v>547</v>
      </c>
      <c r="D173" t="s">
        <v>1206</v>
      </c>
    </row>
    <row r="174" spans="1:4" x14ac:dyDescent="0.35">
      <c r="A174">
        <v>50111346</v>
      </c>
      <c r="B174" t="s">
        <v>271</v>
      </c>
      <c r="C174">
        <v>597</v>
      </c>
      <c r="D174" t="s">
        <v>1207</v>
      </c>
    </row>
    <row r="175" spans="1:4" x14ac:dyDescent="0.35">
      <c r="A175">
        <v>50111360</v>
      </c>
      <c r="B175" t="s">
        <v>272</v>
      </c>
      <c r="C175">
        <v>497</v>
      </c>
      <c r="D175" t="s">
        <v>1209</v>
      </c>
    </row>
    <row r="176" spans="1:4" x14ac:dyDescent="0.35">
      <c r="A176">
        <v>50111372</v>
      </c>
      <c r="B176" t="s">
        <v>273</v>
      </c>
      <c r="C176">
        <v>279</v>
      </c>
      <c r="D176" t="s">
        <v>1210</v>
      </c>
    </row>
    <row r="177" spans="1:4" x14ac:dyDescent="0.35">
      <c r="A177">
        <v>50115596</v>
      </c>
      <c r="B177" t="s">
        <v>274</v>
      </c>
      <c r="C177">
        <v>795</v>
      </c>
      <c r="D177" t="s">
        <v>1215</v>
      </c>
    </row>
    <row r="178" spans="1:4" x14ac:dyDescent="0.35">
      <c r="A178">
        <v>50119784</v>
      </c>
      <c r="B178" t="s">
        <v>275</v>
      </c>
      <c r="C178">
        <v>599.99</v>
      </c>
      <c r="D178" t="s">
        <v>1309</v>
      </c>
    </row>
    <row r="179" spans="1:4" x14ac:dyDescent="0.35">
      <c r="A179">
        <v>50122212</v>
      </c>
      <c r="B179" t="s">
        <v>276</v>
      </c>
      <c r="C179">
        <v>347</v>
      </c>
      <c r="D179" t="s">
        <v>1222</v>
      </c>
    </row>
    <row r="180" spans="1:4" x14ac:dyDescent="0.35">
      <c r="A180">
        <v>50125650</v>
      </c>
      <c r="B180" t="s">
        <v>277</v>
      </c>
      <c r="C180">
        <v>895</v>
      </c>
      <c r="D180" t="s">
        <v>1223</v>
      </c>
    </row>
    <row r="181" spans="1:4" x14ac:dyDescent="0.35">
      <c r="A181">
        <v>50125749</v>
      </c>
      <c r="B181" t="s">
        <v>278</v>
      </c>
      <c r="C181">
        <v>1299</v>
      </c>
      <c r="D181" t="s">
        <v>1224</v>
      </c>
    </row>
    <row r="182" spans="1:4" x14ac:dyDescent="0.35">
      <c r="A182">
        <v>50125751</v>
      </c>
      <c r="B182" t="s">
        <v>279</v>
      </c>
      <c r="C182">
        <v>1499</v>
      </c>
      <c r="D182" t="s">
        <v>1225</v>
      </c>
    </row>
    <row r="183" spans="1:4" x14ac:dyDescent="0.35">
      <c r="A183">
        <v>50125802</v>
      </c>
      <c r="B183" t="s">
        <v>280</v>
      </c>
      <c r="C183">
        <v>1799</v>
      </c>
      <c r="D183" t="s">
        <v>1226</v>
      </c>
    </row>
    <row r="184" spans="1:4" x14ac:dyDescent="0.35">
      <c r="A184">
        <v>50128959</v>
      </c>
      <c r="B184" t="s">
        <v>281</v>
      </c>
      <c r="C184">
        <v>797</v>
      </c>
      <c r="D184" t="s">
        <v>1227</v>
      </c>
    </row>
    <row r="185" spans="1:4" x14ac:dyDescent="0.35">
      <c r="A185">
        <v>50128961</v>
      </c>
      <c r="B185" t="s">
        <v>282</v>
      </c>
      <c r="C185">
        <v>595</v>
      </c>
      <c r="D185" t="s">
        <v>1228</v>
      </c>
    </row>
    <row r="186" spans="1:4" x14ac:dyDescent="0.35">
      <c r="A186">
        <v>50129177</v>
      </c>
      <c r="B186" t="s">
        <v>283</v>
      </c>
      <c r="C186">
        <v>577</v>
      </c>
      <c r="D186" t="s">
        <v>1231</v>
      </c>
    </row>
    <row r="187" spans="1:4" x14ac:dyDescent="0.35">
      <c r="A187">
        <v>50129189</v>
      </c>
      <c r="B187" t="s">
        <v>284</v>
      </c>
      <c r="C187">
        <v>977</v>
      </c>
      <c r="D187" t="s">
        <v>1232</v>
      </c>
    </row>
    <row r="188" spans="1:4" x14ac:dyDescent="0.35">
      <c r="A188">
        <v>50129204</v>
      </c>
      <c r="B188" t="s">
        <v>285</v>
      </c>
      <c r="C188">
        <v>897</v>
      </c>
      <c r="D188" t="s">
        <v>1233</v>
      </c>
    </row>
    <row r="189" spans="1:4" x14ac:dyDescent="0.35">
      <c r="A189">
        <v>50129216</v>
      </c>
      <c r="B189" t="s">
        <v>286</v>
      </c>
      <c r="C189">
        <v>977</v>
      </c>
      <c r="D189" t="s">
        <v>1234</v>
      </c>
    </row>
    <row r="190" spans="1:4" x14ac:dyDescent="0.35">
      <c r="A190">
        <v>50129242</v>
      </c>
      <c r="B190" t="s">
        <v>287</v>
      </c>
      <c r="C190">
        <v>1197</v>
      </c>
      <c r="D190" t="s">
        <v>1235</v>
      </c>
    </row>
    <row r="191" spans="1:4" x14ac:dyDescent="0.35">
      <c r="A191">
        <v>50129254</v>
      </c>
      <c r="B191" t="s">
        <v>288</v>
      </c>
      <c r="C191">
        <v>1399</v>
      </c>
      <c r="D191" t="s">
        <v>1236</v>
      </c>
    </row>
    <row r="192" spans="1:4" x14ac:dyDescent="0.35">
      <c r="A192">
        <v>50134116</v>
      </c>
      <c r="B192" t="s">
        <v>289</v>
      </c>
      <c r="C192">
        <v>699</v>
      </c>
      <c r="D192" t="s">
        <v>1310</v>
      </c>
    </row>
    <row r="193" spans="1:4" x14ac:dyDescent="0.35">
      <c r="A193">
        <v>50148002</v>
      </c>
      <c r="B193" t="s">
        <v>291</v>
      </c>
      <c r="C193">
        <v>1699</v>
      </c>
      <c r="D193" t="s">
        <v>1267</v>
      </c>
    </row>
    <row r="194" spans="1:4" x14ac:dyDescent="0.35">
      <c r="A194">
        <v>50148014</v>
      </c>
      <c r="B194" t="s">
        <v>292</v>
      </c>
      <c r="C194">
        <v>1899</v>
      </c>
      <c r="D194" t="s">
        <v>1268</v>
      </c>
    </row>
    <row r="195" spans="1:4" x14ac:dyDescent="0.35">
      <c r="A195">
        <v>50149991</v>
      </c>
      <c r="B195" t="s">
        <v>293</v>
      </c>
      <c r="C195">
        <v>297</v>
      </c>
      <c r="D195" t="s">
        <v>1311</v>
      </c>
    </row>
    <row r="196" spans="1:4" x14ac:dyDescent="0.35">
      <c r="A196">
        <v>50152568</v>
      </c>
      <c r="B196" t="s">
        <v>295</v>
      </c>
      <c r="C196">
        <v>227</v>
      </c>
      <c r="D196" t="s">
        <v>1312</v>
      </c>
    </row>
    <row r="197" spans="1:4" x14ac:dyDescent="0.35">
      <c r="A197">
        <v>50152570</v>
      </c>
      <c r="B197" t="s">
        <v>297</v>
      </c>
      <c r="C197">
        <v>277</v>
      </c>
      <c r="D197" t="s">
        <v>1313</v>
      </c>
    </row>
    <row r="198" spans="1:4" x14ac:dyDescent="0.35">
      <c r="A198">
        <v>50152582</v>
      </c>
      <c r="B198" t="s">
        <v>299</v>
      </c>
      <c r="C198">
        <v>327</v>
      </c>
      <c r="D198" t="s">
        <v>1314</v>
      </c>
    </row>
    <row r="199" spans="1:4" x14ac:dyDescent="0.35">
      <c r="A199">
        <v>50152619</v>
      </c>
      <c r="B199" t="s">
        <v>301</v>
      </c>
      <c r="C199">
        <v>377</v>
      </c>
      <c r="D199" t="s">
        <v>1315</v>
      </c>
    </row>
    <row r="200" spans="1:4" x14ac:dyDescent="0.35">
      <c r="A200">
        <v>50152621</v>
      </c>
      <c r="B200" t="s">
        <v>302</v>
      </c>
      <c r="C200">
        <v>477</v>
      </c>
      <c r="D200" t="s">
        <v>1316</v>
      </c>
    </row>
    <row r="201" spans="1:4" x14ac:dyDescent="0.35">
      <c r="A201">
        <v>50170047</v>
      </c>
      <c r="B201" t="s">
        <v>303</v>
      </c>
      <c r="C201">
        <v>599</v>
      </c>
      <c r="D201" t="s">
        <v>1317</v>
      </c>
    </row>
    <row r="202" spans="1:4" x14ac:dyDescent="0.35">
      <c r="A202">
        <v>50170100</v>
      </c>
      <c r="B202" t="s">
        <v>304</v>
      </c>
      <c r="C202">
        <v>799</v>
      </c>
      <c r="D202" t="s">
        <v>1285</v>
      </c>
    </row>
    <row r="203" spans="1:4" x14ac:dyDescent="0.35">
      <c r="A203">
        <v>50170112</v>
      </c>
      <c r="B203" t="s">
        <v>305</v>
      </c>
      <c r="C203">
        <v>1348</v>
      </c>
      <c r="D203" t="s">
        <v>1286</v>
      </c>
    </row>
    <row r="204" spans="1:4" x14ac:dyDescent="0.35">
      <c r="A204">
        <v>50170124</v>
      </c>
      <c r="B204" t="s">
        <v>306</v>
      </c>
      <c r="C204">
        <v>1999</v>
      </c>
      <c r="D204" t="s">
        <v>1287</v>
      </c>
    </row>
    <row r="205" spans="1:4" x14ac:dyDescent="0.35">
      <c r="A205">
        <v>50205559</v>
      </c>
      <c r="B205" t="s">
        <v>307</v>
      </c>
      <c r="C205">
        <v>200</v>
      </c>
      <c r="D205" t="s">
        <v>1318</v>
      </c>
    </row>
    <row r="206" spans="1:4" x14ac:dyDescent="0.35">
      <c r="A206">
        <v>50207983</v>
      </c>
      <c r="B206" t="s">
        <v>307</v>
      </c>
      <c r="C206">
        <v>255</v>
      </c>
      <c r="D206" t="s">
        <v>1318</v>
      </c>
    </row>
    <row r="207" spans="1:4" x14ac:dyDescent="0.35">
      <c r="A207">
        <v>50210978</v>
      </c>
      <c r="B207" t="s">
        <v>307</v>
      </c>
      <c r="C207">
        <v>200</v>
      </c>
      <c r="D207" t="s">
        <v>1318</v>
      </c>
    </row>
    <row r="208" spans="1:4" x14ac:dyDescent="0.35">
      <c r="A208">
        <v>50211083</v>
      </c>
      <c r="B208" t="s">
        <v>307</v>
      </c>
      <c r="C208">
        <v>200</v>
      </c>
      <c r="D208" t="s">
        <v>1318</v>
      </c>
    </row>
    <row r="209" spans="1:4" x14ac:dyDescent="0.35">
      <c r="A209">
        <v>50211526</v>
      </c>
      <c r="B209" t="s">
        <v>307</v>
      </c>
      <c r="C209">
        <v>200</v>
      </c>
      <c r="D209" t="s">
        <v>1318</v>
      </c>
    </row>
    <row r="210" spans="1:4" x14ac:dyDescent="0.35">
      <c r="A210">
        <v>50212112</v>
      </c>
      <c r="B210" t="s">
        <v>307</v>
      </c>
      <c r="C210">
        <v>200</v>
      </c>
      <c r="D210" t="s">
        <v>1318</v>
      </c>
    </row>
    <row r="211" spans="1:4" x14ac:dyDescent="0.35">
      <c r="A211">
        <v>50214659</v>
      </c>
      <c r="B211" t="s">
        <v>308</v>
      </c>
      <c r="D211" t="s">
        <v>1318</v>
      </c>
    </row>
    <row r="212" spans="1:4" x14ac:dyDescent="0.35">
      <c r="A212">
        <v>50214762</v>
      </c>
      <c r="B212" t="s">
        <v>307</v>
      </c>
      <c r="C212">
        <v>200</v>
      </c>
      <c r="D212" t="s">
        <v>1318</v>
      </c>
    </row>
    <row r="213" spans="1:4" x14ac:dyDescent="0.35">
      <c r="A213">
        <v>50215601</v>
      </c>
      <c r="B213" t="s">
        <v>307</v>
      </c>
      <c r="C213">
        <v>200</v>
      </c>
      <c r="D213" t="s">
        <v>1318</v>
      </c>
    </row>
    <row r="214" spans="1:4" x14ac:dyDescent="0.35">
      <c r="A214">
        <v>50216184</v>
      </c>
      <c r="B214" t="s">
        <v>307</v>
      </c>
      <c r="C214">
        <v>200</v>
      </c>
      <c r="D214" t="s">
        <v>1318</v>
      </c>
    </row>
    <row r="215" spans="1:4" x14ac:dyDescent="0.35">
      <c r="A215">
        <v>50218607</v>
      </c>
      <c r="B215" t="s">
        <v>309</v>
      </c>
      <c r="C215">
        <v>899</v>
      </c>
      <c r="D215" t="s">
        <v>1319</v>
      </c>
    </row>
    <row r="216" spans="1:4" x14ac:dyDescent="0.35">
      <c r="A216">
        <v>50219952</v>
      </c>
      <c r="B216" t="s">
        <v>308</v>
      </c>
      <c r="D216" t="s">
        <v>1318</v>
      </c>
    </row>
    <row r="217" spans="1:4" x14ac:dyDescent="0.35">
      <c r="A217">
        <v>50221705</v>
      </c>
      <c r="B217" t="s">
        <v>308</v>
      </c>
      <c r="D217" t="s">
        <v>1318</v>
      </c>
    </row>
    <row r="218" spans="1:4" x14ac:dyDescent="0.35">
      <c r="A218">
        <v>50222264</v>
      </c>
      <c r="B218" t="s">
        <v>307</v>
      </c>
      <c r="C218">
        <v>200</v>
      </c>
      <c r="D218" t="s">
        <v>1318</v>
      </c>
    </row>
    <row r="219" spans="1:4" x14ac:dyDescent="0.35">
      <c r="A219">
        <v>50222606</v>
      </c>
      <c r="B219" t="s">
        <v>311</v>
      </c>
      <c r="C219">
        <v>69.989999999999995</v>
      </c>
      <c r="D219" t="s">
        <v>1320</v>
      </c>
    </row>
    <row r="220" spans="1:4" x14ac:dyDescent="0.35">
      <c r="A220">
        <v>50222620</v>
      </c>
      <c r="B220" t="s">
        <v>312</v>
      </c>
      <c r="C220">
        <v>200</v>
      </c>
      <c r="D220" t="s">
        <v>1318</v>
      </c>
    </row>
    <row r="221" spans="1:4" x14ac:dyDescent="0.35">
      <c r="A221">
        <v>50229270</v>
      </c>
      <c r="B221" t="s">
        <v>307</v>
      </c>
      <c r="C221">
        <v>200</v>
      </c>
      <c r="D221" t="s">
        <v>1318</v>
      </c>
    </row>
    <row r="222" spans="1:4" x14ac:dyDescent="0.35">
      <c r="A222">
        <v>50248509</v>
      </c>
      <c r="B222" t="s">
        <v>313</v>
      </c>
      <c r="C222">
        <v>240</v>
      </c>
      <c r="D222" t="s">
        <v>1318</v>
      </c>
    </row>
    <row r="223" spans="1:4" x14ac:dyDescent="0.35">
      <c r="A223">
        <v>50252635</v>
      </c>
      <c r="B223" t="s">
        <v>307</v>
      </c>
      <c r="C223">
        <v>200</v>
      </c>
      <c r="D223" t="s">
        <v>1318</v>
      </c>
    </row>
    <row r="224" spans="1:4" x14ac:dyDescent="0.35">
      <c r="A224">
        <v>50283476</v>
      </c>
      <c r="B224" t="s">
        <v>314</v>
      </c>
      <c r="C224">
        <v>200</v>
      </c>
      <c r="D224" t="s">
        <v>1318</v>
      </c>
    </row>
    <row r="225" spans="1:4" x14ac:dyDescent="0.35">
      <c r="A225">
        <v>50299049</v>
      </c>
      <c r="B225" t="s">
        <v>308</v>
      </c>
      <c r="D225" t="s">
        <v>1318</v>
      </c>
    </row>
    <row r="226" spans="1:4" x14ac:dyDescent="0.35">
      <c r="A226">
        <v>50299140</v>
      </c>
      <c r="B226" t="s">
        <v>308</v>
      </c>
      <c r="D226" t="s">
        <v>1318</v>
      </c>
    </row>
    <row r="227" spans="1:4" x14ac:dyDescent="0.35">
      <c r="A227">
        <v>50299277</v>
      </c>
      <c r="B227" t="s">
        <v>308</v>
      </c>
      <c r="D227" t="s">
        <v>1318</v>
      </c>
    </row>
    <row r="228" spans="1:4" x14ac:dyDescent="0.35">
      <c r="A228">
        <v>50299758</v>
      </c>
      <c r="B228" t="s">
        <v>315</v>
      </c>
      <c r="C228">
        <v>200</v>
      </c>
      <c r="D228" t="s">
        <v>1321</v>
      </c>
    </row>
    <row r="229" spans="1:4" x14ac:dyDescent="0.35">
      <c r="A229">
        <v>50300549</v>
      </c>
      <c r="B229" t="s">
        <v>316</v>
      </c>
      <c r="C229">
        <v>959</v>
      </c>
      <c r="D229" t="s">
        <v>1165</v>
      </c>
    </row>
    <row r="230" spans="1:4" x14ac:dyDescent="0.35">
      <c r="A230">
        <v>50300551</v>
      </c>
      <c r="B230" t="s">
        <v>318</v>
      </c>
      <c r="C230">
        <v>759</v>
      </c>
      <c r="D230" t="s">
        <v>1166</v>
      </c>
    </row>
    <row r="231" spans="1:4" x14ac:dyDescent="0.35">
      <c r="A231">
        <v>50300563</v>
      </c>
      <c r="B231" t="s">
        <v>319</v>
      </c>
      <c r="C231">
        <v>1395</v>
      </c>
      <c r="D231" t="s">
        <v>1167</v>
      </c>
    </row>
    <row r="232" spans="1:4" x14ac:dyDescent="0.35">
      <c r="A232">
        <v>50300575</v>
      </c>
      <c r="B232" t="s">
        <v>320</v>
      </c>
      <c r="C232">
        <v>1995</v>
      </c>
      <c r="D232" t="s">
        <v>1168</v>
      </c>
    </row>
    <row r="233" spans="1:4" x14ac:dyDescent="0.35">
      <c r="A233">
        <v>50300587</v>
      </c>
      <c r="B233" t="s">
        <v>322</v>
      </c>
      <c r="C233">
        <v>2995</v>
      </c>
      <c r="D233" t="s">
        <v>1169</v>
      </c>
    </row>
    <row r="234" spans="1:4" x14ac:dyDescent="0.35">
      <c r="A234">
        <v>50300599</v>
      </c>
      <c r="B234" t="s">
        <v>323</v>
      </c>
      <c r="C234">
        <v>2475</v>
      </c>
      <c r="D234" t="s">
        <v>1170</v>
      </c>
    </row>
    <row r="235" spans="1:4" x14ac:dyDescent="0.35">
      <c r="A235">
        <v>50300688</v>
      </c>
      <c r="B235" t="s">
        <v>324</v>
      </c>
      <c r="C235">
        <v>749</v>
      </c>
      <c r="D235" t="s">
        <v>1171</v>
      </c>
    </row>
    <row r="236" spans="1:4" x14ac:dyDescent="0.35">
      <c r="A236">
        <v>50301779</v>
      </c>
      <c r="B236" t="s">
        <v>325</v>
      </c>
      <c r="C236">
        <v>1177</v>
      </c>
      <c r="D236" t="s">
        <v>1172</v>
      </c>
    </row>
    <row r="237" spans="1:4" x14ac:dyDescent="0.35">
      <c r="A237">
        <v>50301781</v>
      </c>
      <c r="B237" t="s">
        <v>326</v>
      </c>
      <c r="C237">
        <v>779</v>
      </c>
      <c r="D237" t="s">
        <v>1292</v>
      </c>
    </row>
    <row r="238" spans="1:4" x14ac:dyDescent="0.35">
      <c r="A238">
        <v>50302264</v>
      </c>
      <c r="B238" t="s">
        <v>327</v>
      </c>
      <c r="C238">
        <v>338</v>
      </c>
      <c r="D238" t="s">
        <v>1293</v>
      </c>
    </row>
    <row r="239" spans="1:4" x14ac:dyDescent="0.35">
      <c r="A239">
        <v>50302276</v>
      </c>
      <c r="B239" t="s">
        <v>328</v>
      </c>
      <c r="C239">
        <v>355</v>
      </c>
      <c r="D239" t="s">
        <v>1294</v>
      </c>
    </row>
    <row r="240" spans="1:4" x14ac:dyDescent="0.35">
      <c r="A240">
        <v>50302288</v>
      </c>
      <c r="B240" t="s">
        <v>329</v>
      </c>
      <c r="C240">
        <v>398</v>
      </c>
      <c r="D240" t="s">
        <v>1295</v>
      </c>
    </row>
    <row r="241" spans="1:4" x14ac:dyDescent="0.35">
      <c r="A241">
        <v>50302290</v>
      </c>
      <c r="B241" t="s">
        <v>330</v>
      </c>
      <c r="C241">
        <v>527</v>
      </c>
      <c r="D241" t="s">
        <v>1296</v>
      </c>
    </row>
    <row r="242" spans="1:4" x14ac:dyDescent="0.35">
      <c r="A242">
        <v>50307466</v>
      </c>
      <c r="B242" t="s">
        <v>331</v>
      </c>
      <c r="C242">
        <v>2049</v>
      </c>
      <c r="D242" t="s">
        <v>1175</v>
      </c>
    </row>
    <row r="243" spans="1:4" x14ac:dyDescent="0.35">
      <c r="A243">
        <v>50307478</v>
      </c>
      <c r="B243" t="s">
        <v>332</v>
      </c>
      <c r="C243">
        <v>2349</v>
      </c>
      <c r="D243" t="s">
        <v>1176</v>
      </c>
    </row>
    <row r="244" spans="1:4" x14ac:dyDescent="0.35">
      <c r="A244">
        <v>50307480</v>
      </c>
      <c r="B244" t="s">
        <v>333</v>
      </c>
      <c r="C244">
        <v>3249</v>
      </c>
      <c r="D244" t="s">
        <v>1177</v>
      </c>
    </row>
    <row r="245" spans="1:4" x14ac:dyDescent="0.35">
      <c r="A245">
        <v>50307529</v>
      </c>
      <c r="B245" t="s">
        <v>334</v>
      </c>
      <c r="C245">
        <v>3249</v>
      </c>
      <c r="D245" t="s">
        <v>1180</v>
      </c>
    </row>
    <row r="246" spans="1:4" x14ac:dyDescent="0.35">
      <c r="A246">
        <v>50307531</v>
      </c>
      <c r="B246" t="s">
        <v>335</v>
      </c>
      <c r="C246">
        <v>3249</v>
      </c>
      <c r="D246" t="s">
        <v>1181</v>
      </c>
    </row>
    <row r="247" spans="1:4" x14ac:dyDescent="0.35">
      <c r="A247">
        <v>50307555</v>
      </c>
      <c r="B247" t="s">
        <v>336</v>
      </c>
      <c r="C247">
        <v>3249</v>
      </c>
      <c r="D247" t="s">
        <v>1182</v>
      </c>
    </row>
    <row r="248" spans="1:4" x14ac:dyDescent="0.35">
      <c r="A248">
        <v>50309876</v>
      </c>
      <c r="B248" t="s">
        <v>338</v>
      </c>
      <c r="C248">
        <v>897</v>
      </c>
      <c r="D248" t="s">
        <v>1190</v>
      </c>
    </row>
    <row r="249" spans="1:4" x14ac:dyDescent="0.35">
      <c r="A249">
        <v>50309888</v>
      </c>
      <c r="B249" t="s">
        <v>339</v>
      </c>
      <c r="C249">
        <v>995</v>
      </c>
      <c r="D249" t="s">
        <v>1191</v>
      </c>
    </row>
    <row r="250" spans="1:4" x14ac:dyDescent="0.35">
      <c r="A250">
        <v>50309890</v>
      </c>
      <c r="B250" t="s">
        <v>340</v>
      </c>
      <c r="C250">
        <v>1597</v>
      </c>
      <c r="D250" t="s">
        <v>1192</v>
      </c>
    </row>
    <row r="251" spans="1:4" x14ac:dyDescent="0.35">
      <c r="A251">
        <v>50309903</v>
      </c>
      <c r="B251" t="s">
        <v>341</v>
      </c>
      <c r="C251">
        <v>1797</v>
      </c>
      <c r="D251" t="s">
        <v>1193</v>
      </c>
    </row>
    <row r="252" spans="1:4" x14ac:dyDescent="0.35">
      <c r="A252">
        <v>50309927</v>
      </c>
      <c r="B252" t="s">
        <v>342</v>
      </c>
      <c r="C252">
        <v>577</v>
      </c>
      <c r="D252" t="s">
        <v>1297</v>
      </c>
    </row>
    <row r="253" spans="1:4" x14ac:dyDescent="0.35">
      <c r="A253">
        <v>50309939</v>
      </c>
      <c r="B253" t="s">
        <v>343</v>
      </c>
      <c r="C253">
        <v>677</v>
      </c>
      <c r="D253" t="s">
        <v>1194</v>
      </c>
    </row>
    <row r="254" spans="1:4" x14ac:dyDescent="0.35">
      <c r="A254">
        <v>50310576</v>
      </c>
      <c r="B254" t="s">
        <v>344</v>
      </c>
      <c r="C254">
        <v>477</v>
      </c>
      <c r="D254" t="s">
        <v>1195</v>
      </c>
    </row>
    <row r="255" spans="1:4" x14ac:dyDescent="0.35">
      <c r="A255">
        <v>50310677</v>
      </c>
      <c r="B255" t="s">
        <v>345</v>
      </c>
      <c r="C255">
        <v>695</v>
      </c>
      <c r="D255" t="s">
        <v>1196</v>
      </c>
    </row>
    <row r="256" spans="1:4" x14ac:dyDescent="0.35">
      <c r="A256">
        <v>50310932</v>
      </c>
      <c r="B256" t="s">
        <v>346</v>
      </c>
      <c r="C256">
        <v>277</v>
      </c>
      <c r="D256" t="s">
        <v>1298</v>
      </c>
    </row>
    <row r="257" spans="1:4" x14ac:dyDescent="0.35">
      <c r="A257">
        <v>50310944</v>
      </c>
      <c r="B257" t="s">
        <v>347</v>
      </c>
      <c r="C257">
        <v>377</v>
      </c>
      <c r="D257" t="s">
        <v>1299</v>
      </c>
    </row>
    <row r="258" spans="1:4" x14ac:dyDescent="0.35">
      <c r="A258">
        <v>50310956</v>
      </c>
      <c r="B258" t="s">
        <v>348</v>
      </c>
      <c r="C258">
        <v>427</v>
      </c>
      <c r="D258" t="s">
        <v>1300</v>
      </c>
    </row>
    <row r="259" spans="1:4" x14ac:dyDescent="0.35">
      <c r="A259">
        <v>50310968</v>
      </c>
      <c r="B259" t="s">
        <v>349</v>
      </c>
      <c r="C259">
        <v>477</v>
      </c>
      <c r="D259" t="s">
        <v>1301</v>
      </c>
    </row>
    <row r="260" spans="1:4" x14ac:dyDescent="0.35">
      <c r="A260">
        <v>50311059</v>
      </c>
      <c r="B260" t="s">
        <v>350</v>
      </c>
      <c r="C260">
        <v>495</v>
      </c>
      <c r="D260" t="s">
        <v>1197</v>
      </c>
    </row>
    <row r="261" spans="1:4" x14ac:dyDescent="0.35">
      <c r="A261">
        <v>50311061</v>
      </c>
      <c r="B261" t="s">
        <v>351</v>
      </c>
      <c r="C261">
        <v>545</v>
      </c>
      <c r="D261" t="s">
        <v>1198</v>
      </c>
    </row>
    <row r="262" spans="1:4" x14ac:dyDescent="0.35">
      <c r="A262">
        <v>50311073</v>
      </c>
      <c r="B262" t="s">
        <v>352</v>
      </c>
      <c r="C262">
        <v>645</v>
      </c>
      <c r="D262" t="s">
        <v>1199</v>
      </c>
    </row>
    <row r="263" spans="1:4" x14ac:dyDescent="0.35">
      <c r="A263">
        <v>50311148</v>
      </c>
      <c r="B263" t="s">
        <v>353</v>
      </c>
      <c r="C263">
        <v>199</v>
      </c>
      <c r="D263" t="s">
        <v>1302</v>
      </c>
    </row>
    <row r="264" spans="1:4" x14ac:dyDescent="0.35">
      <c r="A264">
        <v>50311150</v>
      </c>
      <c r="B264" t="s">
        <v>354</v>
      </c>
      <c r="C264">
        <v>327</v>
      </c>
      <c r="D264" t="s">
        <v>1200</v>
      </c>
    </row>
    <row r="265" spans="1:4" x14ac:dyDescent="0.35">
      <c r="A265">
        <v>50311162</v>
      </c>
      <c r="B265" t="s">
        <v>355</v>
      </c>
      <c r="C265">
        <v>477</v>
      </c>
      <c r="D265" t="s">
        <v>1303</v>
      </c>
    </row>
    <row r="266" spans="1:4" x14ac:dyDescent="0.35">
      <c r="A266">
        <v>50311174</v>
      </c>
      <c r="B266" t="s">
        <v>356</v>
      </c>
      <c r="C266">
        <v>627</v>
      </c>
      <c r="D266" t="s">
        <v>1304</v>
      </c>
    </row>
    <row r="267" spans="1:4" x14ac:dyDescent="0.35">
      <c r="A267">
        <v>50311213</v>
      </c>
      <c r="B267" t="s">
        <v>357</v>
      </c>
      <c r="C267">
        <v>277</v>
      </c>
      <c r="D267" t="s">
        <v>1305</v>
      </c>
    </row>
    <row r="268" spans="1:4" x14ac:dyDescent="0.35">
      <c r="A268">
        <v>50311237</v>
      </c>
      <c r="B268" t="s">
        <v>358</v>
      </c>
      <c r="C268">
        <v>377</v>
      </c>
      <c r="D268" t="s">
        <v>1201</v>
      </c>
    </row>
    <row r="269" spans="1:4" x14ac:dyDescent="0.35">
      <c r="A269">
        <v>50311249</v>
      </c>
      <c r="B269" t="s">
        <v>359</v>
      </c>
      <c r="C269">
        <v>577</v>
      </c>
      <c r="D269" t="s">
        <v>1306</v>
      </c>
    </row>
    <row r="270" spans="1:4" x14ac:dyDescent="0.35">
      <c r="A270">
        <v>50311251</v>
      </c>
      <c r="B270" t="s">
        <v>360</v>
      </c>
      <c r="C270">
        <v>327</v>
      </c>
      <c r="D270" t="s">
        <v>1307</v>
      </c>
    </row>
    <row r="271" spans="1:4" x14ac:dyDescent="0.35">
      <c r="A271">
        <v>50311263</v>
      </c>
      <c r="B271" t="s">
        <v>361</v>
      </c>
      <c r="C271">
        <v>477</v>
      </c>
      <c r="D271" t="s">
        <v>1202</v>
      </c>
    </row>
    <row r="272" spans="1:4" x14ac:dyDescent="0.35">
      <c r="A272">
        <v>50311275</v>
      </c>
      <c r="B272" t="s">
        <v>362</v>
      </c>
      <c r="C272">
        <v>577</v>
      </c>
      <c r="D272" t="s">
        <v>1308</v>
      </c>
    </row>
    <row r="273" spans="1:4" x14ac:dyDescent="0.35">
      <c r="A273">
        <v>50311299</v>
      </c>
      <c r="B273" t="s">
        <v>363</v>
      </c>
      <c r="C273">
        <v>287</v>
      </c>
      <c r="D273" t="s">
        <v>1203</v>
      </c>
    </row>
    <row r="274" spans="1:4" x14ac:dyDescent="0.35">
      <c r="A274">
        <v>50311314</v>
      </c>
      <c r="B274" t="s">
        <v>364</v>
      </c>
      <c r="C274">
        <v>377</v>
      </c>
      <c r="D274" t="s">
        <v>1204</v>
      </c>
    </row>
    <row r="275" spans="1:4" x14ac:dyDescent="0.35">
      <c r="A275">
        <v>50311326</v>
      </c>
      <c r="B275" t="s">
        <v>365</v>
      </c>
      <c r="C275">
        <v>477</v>
      </c>
      <c r="D275" t="s">
        <v>1205</v>
      </c>
    </row>
    <row r="276" spans="1:4" x14ac:dyDescent="0.35">
      <c r="A276">
        <v>50311338</v>
      </c>
      <c r="B276" t="s">
        <v>366</v>
      </c>
      <c r="C276">
        <v>627</v>
      </c>
      <c r="D276" t="s">
        <v>1206</v>
      </c>
    </row>
    <row r="277" spans="1:4" x14ac:dyDescent="0.35">
      <c r="A277">
        <v>50311340</v>
      </c>
      <c r="B277" t="s">
        <v>367</v>
      </c>
      <c r="C277">
        <v>677</v>
      </c>
      <c r="D277" t="s">
        <v>1207</v>
      </c>
    </row>
    <row r="278" spans="1:4" x14ac:dyDescent="0.35">
      <c r="A278">
        <v>50311364</v>
      </c>
      <c r="B278" t="s">
        <v>368</v>
      </c>
      <c r="C278">
        <v>577</v>
      </c>
      <c r="D278" t="s">
        <v>1209</v>
      </c>
    </row>
    <row r="279" spans="1:4" x14ac:dyDescent="0.35">
      <c r="A279">
        <v>50311376</v>
      </c>
      <c r="B279" t="s">
        <v>369</v>
      </c>
      <c r="C279">
        <v>329</v>
      </c>
      <c r="D279" t="s">
        <v>1210</v>
      </c>
    </row>
    <row r="280" spans="1:4" x14ac:dyDescent="0.35">
      <c r="A280">
        <v>50315590</v>
      </c>
      <c r="B280" t="s">
        <v>370</v>
      </c>
      <c r="C280">
        <v>875</v>
      </c>
      <c r="D280" t="s">
        <v>1215</v>
      </c>
    </row>
    <row r="281" spans="1:4" x14ac:dyDescent="0.35">
      <c r="A281">
        <v>50319788</v>
      </c>
      <c r="B281" t="s">
        <v>371</v>
      </c>
      <c r="C281">
        <v>779.99</v>
      </c>
      <c r="D281" t="s">
        <v>1309</v>
      </c>
    </row>
    <row r="282" spans="1:4" x14ac:dyDescent="0.35">
      <c r="A282">
        <v>50322216</v>
      </c>
      <c r="B282" t="s">
        <v>372</v>
      </c>
      <c r="C282">
        <v>377</v>
      </c>
      <c r="D282" t="s">
        <v>1222</v>
      </c>
    </row>
    <row r="283" spans="1:4" x14ac:dyDescent="0.35">
      <c r="A283">
        <v>50325654</v>
      </c>
      <c r="B283" t="s">
        <v>373</v>
      </c>
      <c r="C283">
        <v>975</v>
      </c>
      <c r="D283" t="s">
        <v>1223</v>
      </c>
    </row>
    <row r="284" spans="1:4" x14ac:dyDescent="0.35">
      <c r="A284">
        <v>50325743</v>
      </c>
      <c r="B284" t="s">
        <v>374</v>
      </c>
      <c r="C284">
        <v>1379</v>
      </c>
      <c r="D284" t="s">
        <v>1224</v>
      </c>
    </row>
    <row r="285" spans="1:4" x14ac:dyDescent="0.35">
      <c r="A285">
        <v>50325755</v>
      </c>
      <c r="B285" t="s">
        <v>375</v>
      </c>
      <c r="C285">
        <v>1579</v>
      </c>
      <c r="D285" t="s">
        <v>1225</v>
      </c>
    </row>
    <row r="286" spans="1:4" x14ac:dyDescent="0.35">
      <c r="A286">
        <v>50325806</v>
      </c>
      <c r="B286" t="s">
        <v>376</v>
      </c>
      <c r="C286">
        <v>1879</v>
      </c>
      <c r="D286" t="s">
        <v>1226</v>
      </c>
    </row>
    <row r="287" spans="1:4" x14ac:dyDescent="0.35">
      <c r="A287">
        <v>50328953</v>
      </c>
      <c r="B287" t="s">
        <v>377</v>
      </c>
      <c r="C287">
        <v>877</v>
      </c>
      <c r="D287" t="s">
        <v>1227</v>
      </c>
    </row>
    <row r="288" spans="1:4" x14ac:dyDescent="0.35">
      <c r="A288">
        <v>50328965</v>
      </c>
      <c r="B288" t="s">
        <v>378</v>
      </c>
      <c r="C288">
        <v>645</v>
      </c>
      <c r="D288" t="s">
        <v>1228</v>
      </c>
    </row>
    <row r="289" spans="1:4" x14ac:dyDescent="0.35">
      <c r="A289">
        <v>50329171</v>
      </c>
      <c r="B289" t="s">
        <v>379</v>
      </c>
      <c r="C289">
        <v>627</v>
      </c>
      <c r="D289" t="s">
        <v>1231</v>
      </c>
    </row>
    <row r="290" spans="1:4" x14ac:dyDescent="0.35">
      <c r="A290">
        <v>50329183</v>
      </c>
      <c r="B290" t="s">
        <v>380</v>
      </c>
      <c r="C290">
        <v>1027</v>
      </c>
      <c r="D290" t="s">
        <v>1232</v>
      </c>
    </row>
    <row r="291" spans="1:4" x14ac:dyDescent="0.35">
      <c r="A291">
        <v>50329208</v>
      </c>
      <c r="B291" t="s">
        <v>381</v>
      </c>
      <c r="C291">
        <v>947</v>
      </c>
      <c r="D291" t="s">
        <v>1233</v>
      </c>
    </row>
    <row r="292" spans="1:4" x14ac:dyDescent="0.35">
      <c r="A292">
        <v>50329210</v>
      </c>
      <c r="B292" t="s">
        <v>382</v>
      </c>
      <c r="C292">
        <v>1027</v>
      </c>
      <c r="D292" t="s">
        <v>1234</v>
      </c>
    </row>
    <row r="293" spans="1:4" x14ac:dyDescent="0.35">
      <c r="A293">
        <v>50329246</v>
      </c>
      <c r="B293" t="s">
        <v>383</v>
      </c>
      <c r="C293">
        <v>1247</v>
      </c>
      <c r="D293" t="s">
        <v>1235</v>
      </c>
    </row>
    <row r="294" spans="1:4" x14ac:dyDescent="0.35">
      <c r="A294">
        <v>50329258</v>
      </c>
      <c r="B294" t="s">
        <v>384</v>
      </c>
      <c r="C294">
        <v>1449</v>
      </c>
      <c r="D294" t="s">
        <v>1236</v>
      </c>
    </row>
    <row r="295" spans="1:4" x14ac:dyDescent="0.35">
      <c r="A295">
        <v>50329260</v>
      </c>
      <c r="B295" t="s">
        <v>385</v>
      </c>
      <c r="C295">
        <v>1749</v>
      </c>
      <c r="D295" t="s">
        <v>1237</v>
      </c>
    </row>
    <row r="296" spans="1:4" x14ac:dyDescent="0.35">
      <c r="A296">
        <v>50334110</v>
      </c>
      <c r="B296" t="s">
        <v>386</v>
      </c>
      <c r="C296">
        <v>799</v>
      </c>
      <c r="D296" t="s">
        <v>1310</v>
      </c>
    </row>
    <row r="297" spans="1:4" x14ac:dyDescent="0.35">
      <c r="A297">
        <v>50337053</v>
      </c>
      <c r="B297" t="s">
        <v>387</v>
      </c>
      <c r="C297">
        <v>1829</v>
      </c>
      <c r="D297" t="s">
        <v>1238</v>
      </c>
    </row>
    <row r="298" spans="1:4" x14ac:dyDescent="0.35">
      <c r="A298">
        <v>50337065</v>
      </c>
      <c r="B298" t="s">
        <v>388</v>
      </c>
      <c r="C298">
        <v>2229</v>
      </c>
      <c r="D298" t="s">
        <v>1239</v>
      </c>
    </row>
    <row r="299" spans="1:4" x14ac:dyDescent="0.35">
      <c r="A299">
        <v>50337077</v>
      </c>
      <c r="B299" t="s">
        <v>389</v>
      </c>
      <c r="C299">
        <v>2229</v>
      </c>
      <c r="D299" t="s">
        <v>1240</v>
      </c>
    </row>
    <row r="300" spans="1:4" x14ac:dyDescent="0.35">
      <c r="A300">
        <v>50337089</v>
      </c>
      <c r="B300" t="s">
        <v>390</v>
      </c>
      <c r="C300">
        <v>2529</v>
      </c>
      <c r="D300" t="s">
        <v>1241</v>
      </c>
    </row>
    <row r="301" spans="1:4" x14ac:dyDescent="0.35">
      <c r="A301">
        <v>50337091</v>
      </c>
      <c r="B301" t="s">
        <v>391</v>
      </c>
      <c r="C301">
        <v>2529</v>
      </c>
      <c r="D301" t="s">
        <v>1242</v>
      </c>
    </row>
    <row r="302" spans="1:4" x14ac:dyDescent="0.35">
      <c r="A302">
        <v>50337116</v>
      </c>
      <c r="B302" t="s">
        <v>392</v>
      </c>
      <c r="C302">
        <v>2529</v>
      </c>
      <c r="D302" t="s">
        <v>1243</v>
      </c>
    </row>
    <row r="303" spans="1:4" x14ac:dyDescent="0.35">
      <c r="A303">
        <v>50337128</v>
      </c>
      <c r="B303" t="s">
        <v>393</v>
      </c>
      <c r="C303">
        <v>2829</v>
      </c>
      <c r="D303" t="s">
        <v>1244</v>
      </c>
    </row>
    <row r="304" spans="1:4" x14ac:dyDescent="0.35">
      <c r="A304">
        <v>50337130</v>
      </c>
      <c r="B304" t="s">
        <v>394</v>
      </c>
      <c r="C304">
        <v>2829</v>
      </c>
      <c r="D304" t="s">
        <v>1245</v>
      </c>
    </row>
    <row r="305" spans="1:4" x14ac:dyDescent="0.35">
      <c r="A305">
        <v>50337142</v>
      </c>
      <c r="B305" t="s">
        <v>396</v>
      </c>
      <c r="C305">
        <v>2829</v>
      </c>
      <c r="D305" t="s">
        <v>1246</v>
      </c>
    </row>
    <row r="306" spans="1:4" x14ac:dyDescent="0.35">
      <c r="A306">
        <v>50337154</v>
      </c>
      <c r="B306" t="s">
        <v>397</v>
      </c>
      <c r="C306">
        <v>3029</v>
      </c>
      <c r="D306" t="s">
        <v>1247</v>
      </c>
    </row>
    <row r="307" spans="1:4" x14ac:dyDescent="0.35">
      <c r="A307">
        <v>50337166</v>
      </c>
      <c r="B307" t="s">
        <v>398</v>
      </c>
      <c r="C307">
        <v>3029</v>
      </c>
      <c r="D307" t="s">
        <v>1248</v>
      </c>
    </row>
    <row r="308" spans="1:4" x14ac:dyDescent="0.35">
      <c r="A308">
        <v>50337180</v>
      </c>
      <c r="B308" t="s">
        <v>399</v>
      </c>
      <c r="C308">
        <v>3529</v>
      </c>
      <c r="D308" t="s">
        <v>1250</v>
      </c>
    </row>
    <row r="309" spans="1:4" x14ac:dyDescent="0.35">
      <c r="A309">
        <v>50337192</v>
      </c>
      <c r="B309" t="s">
        <v>400</v>
      </c>
      <c r="C309">
        <v>3529</v>
      </c>
      <c r="D309" t="s">
        <v>1251</v>
      </c>
    </row>
    <row r="310" spans="1:4" x14ac:dyDescent="0.35">
      <c r="A310">
        <v>50337205</v>
      </c>
      <c r="B310" t="s">
        <v>401</v>
      </c>
      <c r="C310">
        <v>3929</v>
      </c>
      <c r="D310" t="s">
        <v>1252</v>
      </c>
    </row>
    <row r="311" spans="1:4" x14ac:dyDescent="0.35">
      <c r="A311">
        <v>50337217</v>
      </c>
      <c r="B311" t="s">
        <v>402</v>
      </c>
      <c r="C311">
        <v>3929</v>
      </c>
      <c r="D311" t="s">
        <v>1253</v>
      </c>
    </row>
    <row r="312" spans="1:4" x14ac:dyDescent="0.35">
      <c r="A312">
        <v>50337229</v>
      </c>
      <c r="B312" t="s">
        <v>403</v>
      </c>
      <c r="C312">
        <v>3929</v>
      </c>
      <c r="D312" t="s">
        <v>1254</v>
      </c>
    </row>
    <row r="313" spans="1:4" x14ac:dyDescent="0.35">
      <c r="A313">
        <v>50337231</v>
      </c>
      <c r="B313" t="s">
        <v>404</v>
      </c>
      <c r="C313">
        <v>4929</v>
      </c>
      <c r="D313" t="s">
        <v>1255</v>
      </c>
    </row>
    <row r="314" spans="1:4" x14ac:dyDescent="0.35">
      <c r="A314">
        <v>50337255</v>
      </c>
      <c r="B314" t="s">
        <v>405</v>
      </c>
      <c r="C314">
        <v>4929</v>
      </c>
      <c r="D314" t="s">
        <v>1256</v>
      </c>
    </row>
    <row r="315" spans="1:4" x14ac:dyDescent="0.35">
      <c r="A315">
        <v>50337267</v>
      </c>
      <c r="B315" t="s">
        <v>406</v>
      </c>
      <c r="C315">
        <v>4929</v>
      </c>
      <c r="D315" t="s">
        <v>1257</v>
      </c>
    </row>
    <row r="316" spans="1:4" x14ac:dyDescent="0.35">
      <c r="A316">
        <v>50337281</v>
      </c>
      <c r="B316" t="s">
        <v>407</v>
      </c>
      <c r="C316">
        <v>1829</v>
      </c>
      <c r="D316" t="s">
        <v>1258</v>
      </c>
    </row>
    <row r="317" spans="1:4" x14ac:dyDescent="0.35">
      <c r="A317">
        <v>50337293</v>
      </c>
      <c r="B317" t="s">
        <v>408</v>
      </c>
      <c r="C317">
        <v>2429</v>
      </c>
      <c r="D317" t="s">
        <v>1259</v>
      </c>
    </row>
    <row r="318" spans="1:4" x14ac:dyDescent="0.35">
      <c r="A318">
        <v>50337320</v>
      </c>
      <c r="B318" t="s">
        <v>409</v>
      </c>
      <c r="C318">
        <v>3329</v>
      </c>
      <c r="D318" t="s">
        <v>1261</v>
      </c>
    </row>
    <row r="319" spans="1:4" x14ac:dyDescent="0.35">
      <c r="A319">
        <v>50337332</v>
      </c>
      <c r="B319" t="s">
        <v>410</v>
      </c>
      <c r="C319">
        <v>3429</v>
      </c>
      <c r="D319" t="s">
        <v>1262</v>
      </c>
    </row>
    <row r="320" spans="1:4" x14ac:dyDescent="0.35">
      <c r="A320">
        <v>50337344</v>
      </c>
      <c r="B320" t="s">
        <v>411</v>
      </c>
      <c r="C320">
        <v>3429</v>
      </c>
      <c r="D320" t="s">
        <v>1263</v>
      </c>
    </row>
    <row r="321" spans="1:4" x14ac:dyDescent="0.35">
      <c r="A321">
        <v>50337356</v>
      </c>
      <c r="B321" t="s">
        <v>412</v>
      </c>
      <c r="C321">
        <v>3929</v>
      </c>
      <c r="D321" t="s">
        <v>1264</v>
      </c>
    </row>
    <row r="322" spans="1:4" x14ac:dyDescent="0.35">
      <c r="A322">
        <v>50337394</v>
      </c>
      <c r="B322" t="s">
        <v>413</v>
      </c>
      <c r="C322">
        <v>4929</v>
      </c>
      <c r="D322" t="s">
        <v>1265</v>
      </c>
    </row>
    <row r="323" spans="1:4" x14ac:dyDescent="0.35">
      <c r="A323">
        <v>50347991</v>
      </c>
      <c r="B323" t="s">
        <v>414</v>
      </c>
      <c r="C323">
        <v>1949</v>
      </c>
      <c r="D323" t="s">
        <v>1266</v>
      </c>
    </row>
    <row r="324" spans="1:4" x14ac:dyDescent="0.35">
      <c r="A324">
        <v>50348006</v>
      </c>
      <c r="B324" t="s">
        <v>415</v>
      </c>
      <c r="C324">
        <v>1749</v>
      </c>
      <c r="D324" t="s">
        <v>1267</v>
      </c>
    </row>
    <row r="325" spans="1:4" x14ac:dyDescent="0.35">
      <c r="A325">
        <v>50348018</v>
      </c>
      <c r="B325" t="s">
        <v>416</v>
      </c>
      <c r="C325">
        <v>1949</v>
      </c>
      <c r="D325" t="s">
        <v>1268</v>
      </c>
    </row>
    <row r="326" spans="1:4" x14ac:dyDescent="0.35">
      <c r="A326">
        <v>50348020</v>
      </c>
      <c r="B326" t="s">
        <v>417</v>
      </c>
      <c r="C326">
        <v>2349</v>
      </c>
      <c r="D326" t="s">
        <v>1269</v>
      </c>
    </row>
    <row r="327" spans="1:4" x14ac:dyDescent="0.35">
      <c r="A327">
        <v>50348032</v>
      </c>
      <c r="B327" t="s">
        <v>418</v>
      </c>
      <c r="C327">
        <v>2349</v>
      </c>
      <c r="D327" t="s">
        <v>1270</v>
      </c>
    </row>
    <row r="328" spans="1:4" x14ac:dyDescent="0.35">
      <c r="A328">
        <v>50348044</v>
      </c>
      <c r="B328" t="s">
        <v>419</v>
      </c>
      <c r="C328">
        <v>2349</v>
      </c>
      <c r="D328" t="s">
        <v>1271</v>
      </c>
    </row>
    <row r="329" spans="1:4" x14ac:dyDescent="0.35">
      <c r="A329">
        <v>50348056</v>
      </c>
      <c r="B329" t="s">
        <v>420</v>
      </c>
      <c r="C329">
        <v>2549</v>
      </c>
      <c r="D329" t="s">
        <v>1272</v>
      </c>
    </row>
    <row r="330" spans="1:4" x14ac:dyDescent="0.35">
      <c r="A330">
        <v>50348068</v>
      </c>
      <c r="B330" t="s">
        <v>421</v>
      </c>
      <c r="C330">
        <v>2549</v>
      </c>
      <c r="D330" t="s">
        <v>1273</v>
      </c>
    </row>
    <row r="331" spans="1:4" x14ac:dyDescent="0.35">
      <c r="A331">
        <v>50352562</v>
      </c>
      <c r="B331" t="s">
        <v>422</v>
      </c>
      <c r="C331">
        <v>327</v>
      </c>
      <c r="D331" t="s">
        <v>1312</v>
      </c>
    </row>
    <row r="332" spans="1:4" x14ac:dyDescent="0.35">
      <c r="A332">
        <v>50352574</v>
      </c>
      <c r="B332" t="s">
        <v>423</v>
      </c>
      <c r="C332">
        <v>377</v>
      </c>
      <c r="D332" t="s">
        <v>1313</v>
      </c>
    </row>
    <row r="333" spans="1:4" x14ac:dyDescent="0.35">
      <c r="A333">
        <v>50352586</v>
      </c>
      <c r="B333" t="s">
        <v>424</v>
      </c>
      <c r="C333">
        <v>427</v>
      </c>
      <c r="D333" t="s">
        <v>1314</v>
      </c>
    </row>
    <row r="334" spans="1:4" x14ac:dyDescent="0.35">
      <c r="A334">
        <v>50352613</v>
      </c>
      <c r="B334" t="s">
        <v>426</v>
      </c>
      <c r="C334">
        <v>477</v>
      </c>
      <c r="D334" t="s">
        <v>1315</v>
      </c>
    </row>
    <row r="335" spans="1:4" x14ac:dyDescent="0.35">
      <c r="A335">
        <v>50352625</v>
      </c>
      <c r="B335" t="s">
        <v>427</v>
      </c>
      <c r="C335">
        <v>577</v>
      </c>
      <c r="D335" t="s">
        <v>1316</v>
      </c>
    </row>
    <row r="336" spans="1:4" x14ac:dyDescent="0.35">
      <c r="A336">
        <v>50370041</v>
      </c>
      <c r="B336" t="s">
        <v>428</v>
      </c>
      <c r="C336">
        <v>799</v>
      </c>
      <c r="D336" t="s">
        <v>1317</v>
      </c>
    </row>
    <row r="337" spans="1:4" x14ac:dyDescent="0.35">
      <c r="A337">
        <v>50370104</v>
      </c>
      <c r="B337" t="s">
        <v>429</v>
      </c>
      <c r="C337">
        <v>999</v>
      </c>
      <c r="D337" t="s">
        <v>1285</v>
      </c>
    </row>
    <row r="338" spans="1:4" x14ac:dyDescent="0.35">
      <c r="A338">
        <v>50370116</v>
      </c>
      <c r="B338" t="s">
        <v>430</v>
      </c>
      <c r="C338">
        <v>1848</v>
      </c>
      <c r="D338" t="s">
        <v>1286</v>
      </c>
    </row>
    <row r="339" spans="1:4" x14ac:dyDescent="0.35">
      <c r="A339">
        <v>50370128</v>
      </c>
      <c r="B339" t="s">
        <v>431</v>
      </c>
      <c r="C339">
        <v>2649</v>
      </c>
      <c r="D339" t="s">
        <v>1287</v>
      </c>
    </row>
    <row r="340" spans="1:4" x14ac:dyDescent="0.35">
      <c r="A340">
        <v>50400488</v>
      </c>
      <c r="B340" t="s">
        <v>432</v>
      </c>
      <c r="C340">
        <v>699</v>
      </c>
      <c r="D340" t="s">
        <v>1322</v>
      </c>
    </row>
    <row r="341" spans="1:4" x14ac:dyDescent="0.35">
      <c r="A341">
        <v>50400515</v>
      </c>
      <c r="B341" t="s">
        <v>435</v>
      </c>
      <c r="C341">
        <v>1499</v>
      </c>
      <c r="D341" t="s">
        <v>1323</v>
      </c>
    </row>
    <row r="342" spans="1:4" x14ac:dyDescent="0.35">
      <c r="A342">
        <v>50405553</v>
      </c>
      <c r="B342" t="s">
        <v>437</v>
      </c>
      <c r="C342">
        <v>250</v>
      </c>
      <c r="D342" t="s">
        <v>1318</v>
      </c>
    </row>
    <row r="343" spans="1:4" x14ac:dyDescent="0.35">
      <c r="A343">
        <v>50407987</v>
      </c>
      <c r="B343" t="s">
        <v>437</v>
      </c>
      <c r="C343">
        <v>380</v>
      </c>
      <c r="D343" t="s">
        <v>1318</v>
      </c>
    </row>
    <row r="344" spans="1:4" x14ac:dyDescent="0.35">
      <c r="A344">
        <v>50408167</v>
      </c>
      <c r="B344" t="s">
        <v>438</v>
      </c>
      <c r="C344">
        <v>1699</v>
      </c>
      <c r="D344" t="s">
        <v>1324</v>
      </c>
    </row>
    <row r="345" spans="1:4" x14ac:dyDescent="0.35">
      <c r="A345">
        <v>50408181</v>
      </c>
      <c r="B345" t="s">
        <v>440</v>
      </c>
      <c r="C345">
        <v>2199</v>
      </c>
      <c r="D345" t="s">
        <v>1325</v>
      </c>
    </row>
    <row r="346" spans="1:4" x14ac:dyDescent="0.35">
      <c r="A346">
        <v>50410972</v>
      </c>
      <c r="B346" t="s">
        <v>437</v>
      </c>
      <c r="C346">
        <v>250</v>
      </c>
      <c r="D346" t="s">
        <v>1318</v>
      </c>
    </row>
    <row r="347" spans="1:4" x14ac:dyDescent="0.35">
      <c r="A347">
        <v>50411087</v>
      </c>
      <c r="B347" t="s">
        <v>437</v>
      </c>
      <c r="C347">
        <v>250</v>
      </c>
      <c r="D347" t="s">
        <v>1318</v>
      </c>
    </row>
    <row r="348" spans="1:4" x14ac:dyDescent="0.35">
      <c r="A348">
        <v>50411520</v>
      </c>
      <c r="B348" t="s">
        <v>437</v>
      </c>
      <c r="C348">
        <v>250</v>
      </c>
      <c r="D348" t="s">
        <v>1318</v>
      </c>
    </row>
    <row r="349" spans="1:4" x14ac:dyDescent="0.35">
      <c r="A349">
        <v>50412116</v>
      </c>
      <c r="B349" t="s">
        <v>437</v>
      </c>
      <c r="C349">
        <v>250</v>
      </c>
      <c r="D349" t="s">
        <v>1318</v>
      </c>
    </row>
    <row r="350" spans="1:4" x14ac:dyDescent="0.35">
      <c r="A350">
        <v>50414653</v>
      </c>
      <c r="B350" t="s">
        <v>308</v>
      </c>
      <c r="D350" t="s">
        <v>1318</v>
      </c>
    </row>
    <row r="351" spans="1:4" x14ac:dyDescent="0.35">
      <c r="A351">
        <v>50414766</v>
      </c>
      <c r="B351" t="s">
        <v>437</v>
      </c>
      <c r="C351">
        <v>250</v>
      </c>
      <c r="D351" t="s">
        <v>1318</v>
      </c>
    </row>
    <row r="352" spans="1:4" x14ac:dyDescent="0.35">
      <c r="A352">
        <v>50415605</v>
      </c>
      <c r="B352" t="s">
        <v>437</v>
      </c>
      <c r="C352">
        <v>250</v>
      </c>
      <c r="D352" t="s">
        <v>1318</v>
      </c>
    </row>
    <row r="353" spans="1:4" x14ac:dyDescent="0.35">
      <c r="A353">
        <v>50416188</v>
      </c>
      <c r="B353" t="s">
        <v>437</v>
      </c>
      <c r="C353">
        <v>250</v>
      </c>
      <c r="D353" t="s">
        <v>1318</v>
      </c>
    </row>
    <row r="354" spans="1:4" x14ac:dyDescent="0.35">
      <c r="A354">
        <v>50418601</v>
      </c>
      <c r="B354" t="s">
        <v>442</v>
      </c>
      <c r="C354">
        <v>999</v>
      </c>
      <c r="D354" t="s">
        <v>1319</v>
      </c>
    </row>
    <row r="355" spans="1:4" x14ac:dyDescent="0.35">
      <c r="A355">
        <v>50419956</v>
      </c>
      <c r="B355" t="s">
        <v>308</v>
      </c>
      <c r="D355" t="s">
        <v>1318</v>
      </c>
    </row>
    <row r="356" spans="1:4" x14ac:dyDescent="0.35">
      <c r="A356">
        <v>50422268</v>
      </c>
      <c r="B356" t="s">
        <v>437</v>
      </c>
      <c r="C356">
        <v>250</v>
      </c>
      <c r="D356" t="s">
        <v>1318</v>
      </c>
    </row>
    <row r="357" spans="1:4" x14ac:dyDescent="0.35">
      <c r="A357">
        <v>50422600</v>
      </c>
      <c r="B357" t="s">
        <v>444</v>
      </c>
      <c r="C357">
        <v>79.989999999999995</v>
      </c>
      <c r="D357" t="s">
        <v>1320</v>
      </c>
    </row>
    <row r="358" spans="1:4" x14ac:dyDescent="0.35">
      <c r="A358">
        <v>50422624</v>
      </c>
      <c r="B358" t="s">
        <v>445</v>
      </c>
      <c r="C358">
        <v>250</v>
      </c>
      <c r="D358" t="s">
        <v>1318</v>
      </c>
    </row>
    <row r="359" spans="1:4" x14ac:dyDescent="0.35">
      <c r="A359">
        <v>50429274</v>
      </c>
      <c r="B359" t="s">
        <v>437</v>
      </c>
      <c r="C359">
        <v>250</v>
      </c>
      <c r="D359" t="s">
        <v>1318</v>
      </c>
    </row>
    <row r="360" spans="1:4" x14ac:dyDescent="0.35">
      <c r="A360">
        <v>50432358</v>
      </c>
      <c r="B360" t="s">
        <v>308</v>
      </c>
      <c r="D360" t="s">
        <v>1318</v>
      </c>
    </row>
    <row r="361" spans="1:4" x14ac:dyDescent="0.35">
      <c r="A361">
        <v>50437803</v>
      </c>
      <c r="B361" t="s">
        <v>446</v>
      </c>
      <c r="C361">
        <v>300</v>
      </c>
      <c r="D361" t="s">
        <v>1318</v>
      </c>
    </row>
    <row r="362" spans="1:4" x14ac:dyDescent="0.35">
      <c r="A362">
        <v>50448503</v>
      </c>
      <c r="B362" t="s">
        <v>447</v>
      </c>
      <c r="C362">
        <v>315</v>
      </c>
      <c r="D362" t="s">
        <v>1318</v>
      </c>
    </row>
    <row r="363" spans="1:4" x14ac:dyDescent="0.35">
      <c r="A363">
        <v>50452639</v>
      </c>
      <c r="B363" t="s">
        <v>437</v>
      </c>
      <c r="C363">
        <v>250</v>
      </c>
      <c r="D363" t="s">
        <v>1318</v>
      </c>
    </row>
    <row r="364" spans="1:4" x14ac:dyDescent="0.35">
      <c r="A364">
        <v>50483470</v>
      </c>
      <c r="B364" t="s">
        <v>448</v>
      </c>
      <c r="C364">
        <v>250</v>
      </c>
      <c r="D364" t="s">
        <v>1318</v>
      </c>
    </row>
    <row r="365" spans="1:4" x14ac:dyDescent="0.35">
      <c r="A365">
        <v>50499043</v>
      </c>
      <c r="B365" t="s">
        <v>308</v>
      </c>
      <c r="D365" t="s">
        <v>1318</v>
      </c>
    </row>
    <row r="366" spans="1:4" x14ac:dyDescent="0.35">
      <c r="A366">
        <v>50499144</v>
      </c>
      <c r="B366" t="s">
        <v>308</v>
      </c>
      <c r="D366" t="s">
        <v>1318</v>
      </c>
    </row>
    <row r="367" spans="1:4" x14ac:dyDescent="0.35">
      <c r="A367">
        <v>50499271</v>
      </c>
      <c r="B367" t="s">
        <v>308</v>
      </c>
      <c r="D367" t="s">
        <v>1318</v>
      </c>
    </row>
    <row r="368" spans="1:4" x14ac:dyDescent="0.35">
      <c r="A368">
        <v>50499346</v>
      </c>
      <c r="B368" t="s">
        <v>308</v>
      </c>
      <c r="D368" t="s">
        <v>1318</v>
      </c>
    </row>
    <row r="369" spans="1:4" x14ac:dyDescent="0.35">
      <c r="A369">
        <v>50499752</v>
      </c>
      <c r="B369" t="s">
        <v>449</v>
      </c>
      <c r="C369">
        <v>250</v>
      </c>
      <c r="D369" t="s">
        <v>1321</v>
      </c>
    </row>
    <row r="370" spans="1:4" x14ac:dyDescent="0.35">
      <c r="A370">
        <v>50499877</v>
      </c>
      <c r="B370" t="s">
        <v>308</v>
      </c>
      <c r="D370" t="s">
        <v>1318</v>
      </c>
    </row>
    <row r="371" spans="1:4" x14ac:dyDescent="0.35">
      <c r="A371">
        <v>50500543</v>
      </c>
      <c r="B371" t="s">
        <v>450</v>
      </c>
      <c r="C371">
        <v>999</v>
      </c>
      <c r="D371" t="s">
        <v>1165</v>
      </c>
    </row>
    <row r="372" spans="1:4" x14ac:dyDescent="0.35">
      <c r="A372">
        <v>50500555</v>
      </c>
      <c r="B372" t="s">
        <v>452</v>
      </c>
      <c r="C372">
        <v>799</v>
      </c>
      <c r="D372" t="s">
        <v>1166</v>
      </c>
    </row>
    <row r="373" spans="1:4" x14ac:dyDescent="0.35">
      <c r="A373">
        <v>50500567</v>
      </c>
      <c r="B373" t="s">
        <v>453</v>
      </c>
      <c r="C373">
        <v>1495</v>
      </c>
      <c r="D373" t="s">
        <v>1167</v>
      </c>
    </row>
    <row r="374" spans="1:4" x14ac:dyDescent="0.35">
      <c r="A374">
        <v>50500579</v>
      </c>
      <c r="B374" t="s">
        <v>454</v>
      </c>
      <c r="C374">
        <v>2075</v>
      </c>
      <c r="D374" t="s">
        <v>1168</v>
      </c>
    </row>
    <row r="375" spans="1:4" x14ac:dyDescent="0.35">
      <c r="A375">
        <v>50500581</v>
      </c>
      <c r="B375" t="s">
        <v>455</v>
      </c>
      <c r="C375">
        <v>3195</v>
      </c>
      <c r="D375" t="s">
        <v>1169</v>
      </c>
    </row>
    <row r="376" spans="1:4" x14ac:dyDescent="0.35">
      <c r="A376">
        <v>50500593</v>
      </c>
      <c r="B376" t="s">
        <v>456</v>
      </c>
      <c r="C376">
        <v>2595</v>
      </c>
      <c r="D376" t="s">
        <v>1170</v>
      </c>
    </row>
    <row r="377" spans="1:4" x14ac:dyDescent="0.35">
      <c r="A377">
        <v>50500682</v>
      </c>
      <c r="B377" t="s">
        <v>457</v>
      </c>
      <c r="C377">
        <v>799</v>
      </c>
      <c r="D377" t="s">
        <v>1171</v>
      </c>
    </row>
    <row r="378" spans="1:4" x14ac:dyDescent="0.35">
      <c r="A378">
        <v>50501773</v>
      </c>
      <c r="B378" t="s">
        <v>458</v>
      </c>
      <c r="C378">
        <v>1277</v>
      </c>
      <c r="D378" t="s">
        <v>1172</v>
      </c>
    </row>
    <row r="379" spans="1:4" x14ac:dyDescent="0.35">
      <c r="A379">
        <v>50501785</v>
      </c>
      <c r="B379" t="s">
        <v>459</v>
      </c>
      <c r="C379">
        <v>799</v>
      </c>
      <c r="D379" t="s">
        <v>1292</v>
      </c>
    </row>
    <row r="380" spans="1:4" x14ac:dyDescent="0.35">
      <c r="A380">
        <v>50507460</v>
      </c>
      <c r="B380" t="s">
        <v>460</v>
      </c>
      <c r="C380">
        <v>2199</v>
      </c>
      <c r="D380" t="s">
        <v>1175</v>
      </c>
    </row>
    <row r="381" spans="1:4" x14ac:dyDescent="0.35">
      <c r="A381">
        <v>50507472</v>
      </c>
      <c r="B381" t="s">
        <v>461</v>
      </c>
      <c r="C381">
        <v>2499</v>
      </c>
      <c r="D381" t="s">
        <v>1176</v>
      </c>
    </row>
    <row r="382" spans="1:4" x14ac:dyDescent="0.35">
      <c r="A382">
        <v>50507484</v>
      </c>
      <c r="B382" t="s">
        <v>462</v>
      </c>
      <c r="C382">
        <v>3399</v>
      </c>
      <c r="D382" t="s">
        <v>1177</v>
      </c>
    </row>
    <row r="383" spans="1:4" x14ac:dyDescent="0.35">
      <c r="A383">
        <v>50507509</v>
      </c>
      <c r="B383" t="s">
        <v>463</v>
      </c>
      <c r="C383">
        <v>4399</v>
      </c>
      <c r="D383" t="s">
        <v>1178</v>
      </c>
    </row>
    <row r="384" spans="1:4" x14ac:dyDescent="0.35">
      <c r="A384">
        <v>50507511</v>
      </c>
      <c r="B384" t="s">
        <v>464</v>
      </c>
      <c r="C384">
        <v>4399</v>
      </c>
      <c r="D384" t="s">
        <v>1179</v>
      </c>
    </row>
    <row r="385" spans="1:4" x14ac:dyDescent="0.35">
      <c r="A385">
        <v>50507523</v>
      </c>
      <c r="B385" t="s">
        <v>465</v>
      </c>
      <c r="C385">
        <v>3399</v>
      </c>
      <c r="D385" t="s">
        <v>1180</v>
      </c>
    </row>
    <row r="386" spans="1:4" x14ac:dyDescent="0.35">
      <c r="A386">
        <v>50507535</v>
      </c>
      <c r="B386" t="s">
        <v>466</v>
      </c>
      <c r="C386">
        <v>3399</v>
      </c>
      <c r="D386" t="s">
        <v>1181</v>
      </c>
    </row>
    <row r="387" spans="1:4" x14ac:dyDescent="0.35">
      <c r="A387">
        <v>50507559</v>
      </c>
      <c r="B387" t="s">
        <v>467</v>
      </c>
      <c r="C387">
        <v>3399</v>
      </c>
      <c r="D387" t="s">
        <v>1182</v>
      </c>
    </row>
    <row r="388" spans="1:4" x14ac:dyDescent="0.35">
      <c r="A388">
        <v>50507561</v>
      </c>
      <c r="B388" t="s">
        <v>468</v>
      </c>
      <c r="C388">
        <v>4699</v>
      </c>
      <c r="D388" t="s">
        <v>1183</v>
      </c>
    </row>
    <row r="389" spans="1:4" x14ac:dyDescent="0.35">
      <c r="A389">
        <v>50507573</v>
      </c>
      <c r="B389" t="s">
        <v>469</v>
      </c>
      <c r="C389">
        <v>4699</v>
      </c>
      <c r="D389" t="s">
        <v>1184</v>
      </c>
    </row>
    <row r="390" spans="1:4" x14ac:dyDescent="0.35">
      <c r="A390">
        <v>50507585</v>
      </c>
      <c r="B390" t="s">
        <v>470</v>
      </c>
      <c r="C390">
        <v>4699</v>
      </c>
      <c r="D390" t="s">
        <v>1185</v>
      </c>
    </row>
    <row r="391" spans="1:4" x14ac:dyDescent="0.35">
      <c r="A391">
        <v>50507597</v>
      </c>
      <c r="B391" t="s">
        <v>471</v>
      </c>
      <c r="C391">
        <v>6699</v>
      </c>
      <c r="D391" t="s">
        <v>1186</v>
      </c>
    </row>
    <row r="392" spans="1:4" x14ac:dyDescent="0.35">
      <c r="A392">
        <v>50507600</v>
      </c>
      <c r="B392" t="s">
        <v>472</v>
      </c>
      <c r="C392">
        <v>5699</v>
      </c>
      <c r="D392" t="s">
        <v>1187</v>
      </c>
    </row>
    <row r="393" spans="1:4" x14ac:dyDescent="0.35">
      <c r="A393">
        <v>50507612</v>
      </c>
      <c r="B393" t="s">
        <v>473</v>
      </c>
      <c r="C393">
        <v>5699</v>
      </c>
      <c r="D393" t="s">
        <v>1188</v>
      </c>
    </row>
    <row r="394" spans="1:4" x14ac:dyDescent="0.35">
      <c r="A394">
        <v>50507624</v>
      </c>
      <c r="B394" t="s">
        <v>474</v>
      </c>
      <c r="C394">
        <v>5699</v>
      </c>
      <c r="D394" t="s">
        <v>1189</v>
      </c>
    </row>
    <row r="395" spans="1:4" x14ac:dyDescent="0.35">
      <c r="A395">
        <v>50509870</v>
      </c>
      <c r="B395" t="s">
        <v>475</v>
      </c>
      <c r="C395">
        <v>997</v>
      </c>
      <c r="D395" t="s">
        <v>1190</v>
      </c>
    </row>
    <row r="396" spans="1:4" x14ac:dyDescent="0.35">
      <c r="A396">
        <v>50509882</v>
      </c>
      <c r="B396" t="s">
        <v>476</v>
      </c>
      <c r="C396">
        <v>1095</v>
      </c>
      <c r="D396" t="s">
        <v>1191</v>
      </c>
    </row>
    <row r="397" spans="1:4" x14ac:dyDescent="0.35">
      <c r="A397">
        <v>50509894</v>
      </c>
      <c r="B397" t="s">
        <v>477</v>
      </c>
      <c r="C397">
        <v>1797</v>
      </c>
      <c r="D397" t="s">
        <v>1192</v>
      </c>
    </row>
    <row r="398" spans="1:4" x14ac:dyDescent="0.35">
      <c r="A398">
        <v>50509907</v>
      </c>
      <c r="B398" t="s">
        <v>478</v>
      </c>
      <c r="C398">
        <v>1997</v>
      </c>
      <c r="D398" t="s">
        <v>1193</v>
      </c>
    </row>
    <row r="399" spans="1:4" x14ac:dyDescent="0.35">
      <c r="A399">
        <v>50509933</v>
      </c>
      <c r="B399" t="s">
        <v>479</v>
      </c>
      <c r="C399">
        <v>777</v>
      </c>
      <c r="D399" t="s">
        <v>1194</v>
      </c>
    </row>
    <row r="400" spans="1:4" x14ac:dyDescent="0.35">
      <c r="A400">
        <v>50510570</v>
      </c>
      <c r="B400" t="s">
        <v>480</v>
      </c>
      <c r="C400">
        <v>497</v>
      </c>
      <c r="D400" t="s">
        <v>1195</v>
      </c>
    </row>
    <row r="401" spans="1:4" x14ac:dyDescent="0.35">
      <c r="A401">
        <v>50510671</v>
      </c>
      <c r="B401" t="s">
        <v>482</v>
      </c>
      <c r="C401">
        <v>795</v>
      </c>
      <c r="D401" t="s">
        <v>1196</v>
      </c>
    </row>
    <row r="402" spans="1:4" x14ac:dyDescent="0.35">
      <c r="A402">
        <v>50511053</v>
      </c>
      <c r="B402" t="s">
        <v>483</v>
      </c>
      <c r="C402">
        <v>595</v>
      </c>
      <c r="D402" t="s">
        <v>1197</v>
      </c>
    </row>
    <row r="403" spans="1:4" x14ac:dyDescent="0.35">
      <c r="A403">
        <v>50511065</v>
      </c>
      <c r="B403" t="s">
        <v>484</v>
      </c>
      <c r="C403">
        <v>645</v>
      </c>
      <c r="D403" t="s">
        <v>1198</v>
      </c>
    </row>
    <row r="404" spans="1:4" x14ac:dyDescent="0.35">
      <c r="A404">
        <v>50511077</v>
      </c>
      <c r="B404" t="s">
        <v>485</v>
      </c>
      <c r="C404">
        <v>745</v>
      </c>
      <c r="D404" t="s">
        <v>1199</v>
      </c>
    </row>
    <row r="405" spans="1:4" x14ac:dyDescent="0.35">
      <c r="A405">
        <v>50511154</v>
      </c>
      <c r="B405" t="s">
        <v>486</v>
      </c>
      <c r="C405">
        <v>449.99</v>
      </c>
      <c r="D405" t="s">
        <v>1200</v>
      </c>
    </row>
    <row r="406" spans="1:4" x14ac:dyDescent="0.35">
      <c r="A406">
        <v>50511267</v>
      </c>
      <c r="B406" t="s">
        <v>487</v>
      </c>
      <c r="C406">
        <v>577</v>
      </c>
      <c r="D406" t="s">
        <v>1202</v>
      </c>
    </row>
    <row r="407" spans="1:4" x14ac:dyDescent="0.35">
      <c r="A407">
        <v>50511293</v>
      </c>
      <c r="B407" t="s">
        <v>488</v>
      </c>
      <c r="C407">
        <v>297</v>
      </c>
      <c r="D407" t="s">
        <v>1203</v>
      </c>
    </row>
    <row r="408" spans="1:4" x14ac:dyDescent="0.35">
      <c r="A408">
        <v>50511318</v>
      </c>
      <c r="B408" t="s">
        <v>489</v>
      </c>
      <c r="C408">
        <v>397</v>
      </c>
      <c r="D408" t="s">
        <v>1204</v>
      </c>
    </row>
    <row r="409" spans="1:4" x14ac:dyDescent="0.35">
      <c r="A409">
        <v>50511320</v>
      </c>
      <c r="B409" t="s">
        <v>490</v>
      </c>
      <c r="C409">
        <v>497</v>
      </c>
      <c r="D409" t="s">
        <v>1205</v>
      </c>
    </row>
    <row r="410" spans="1:4" x14ac:dyDescent="0.35">
      <c r="A410">
        <v>50511332</v>
      </c>
      <c r="B410" t="s">
        <v>491</v>
      </c>
      <c r="C410">
        <v>647</v>
      </c>
      <c r="D410" t="s">
        <v>1206</v>
      </c>
    </row>
    <row r="411" spans="1:4" x14ac:dyDescent="0.35">
      <c r="A411">
        <v>50511344</v>
      </c>
      <c r="B411" t="s">
        <v>492</v>
      </c>
      <c r="C411">
        <v>697</v>
      </c>
      <c r="D411" t="s">
        <v>1207</v>
      </c>
    </row>
    <row r="412" spans="1:4" x14ac:dyDescent="0.35">
      <c r="A412">
        <v>50511356</v>
      </c>
      <c r="B412" t="s">
        <v>493</v>
      </c>
      <c r="C412">
        <v>897</v>
      </c>
      <c r="D412" t="s">
        <v>1208</v>
      </c>
    </row>
    <row r="413" spans="1:4" x14ac:dyDescent="0.35">
      <c r="A413">
        <v>50511368</v>
      </c>
      <c r="B413" t="s">
        <v>494</v>
      </c>
      <c r="C413">
        <v>597</v>
      </c>
      <c r="D413" t="s">
        <v>1209</v>
      </c>
    </row>
    <row r="414" spans="1:4" x14ac:dyDescent="0.35">
      <c r="A414">
        <v>50511370</v>
      </c>
      <c r="B414" t="s">
        <v>495</v>
      </c>
      <c r="C414">
        <v>349</v>
      </c>
      <c r="D414" t="s">
        <v>1210</v>
      </c>
    </row>
    <row r="415" spans="1:4" x14ac:dyDescent="0.35">
      <c r="A415">
        <v>50511382</v>
      </c>
      <c r="B415" t="s">
        <v>496</v>
      </c>
      <c r="C415">
        <v>777</v>
      </c>
      <c r="D415" t="s">
        <v>1211</v>
      </c>
    </row>
    <row r="416" spans="1:4" x14ac:dyDescent="0.35">
      <c r="A416">
        <v>50511445</v>
      </c>
      <c r="B416" t="s">
        <v>497</v>
      </c>
      <c r="C416">
        <v>1197</v>
      </c>
      <c r="D416" t="s">
        <v>1212</v>
      </c>
    </row>
    <row r="417" spans="1:4" x14ac:dyDescent="0.35">
      <c r="A417">
        <v>50511457</v>
      </c>
      <c r="B417" t="s">
        <v>498</v>
      </c>
      <c r="C417">
        <v>1499.99</v>
      </c>
      <c r="D417" t="s">
        <v>1213</v>
      </c>
    </row>
    <row r="418" spans="1:4" x14ac:dyDescent="0.35">
      <c r="A418">
        <v>50511495</v>
      </c>
      <c r="B418" t="s">
        <v>499</v>
      </c>
      <c r="C418">
        <v>1799.99</v>
      </c>
      <c r="D418" t="s">
        <v>1214</v>
      </c>
    </row>
    <row r="419" spans="1:4" x14ac:dyDescent="0.35">
      <c r="A419">
        <v>50515594</v>
      </c>
      <c r="B419" t="s">
        <v>500</v>
      </c>
      <c r="C419">
        <v>895</v>
      </c>
      <c r="D419" t="s">
        <v>1215</v>
      </c>
    </row>
    <row r="420" spans="1:4" x14ac:dyDescent="0.35">
      <c r="A420">
        <v>50516166</v>
      </c>
      <c r="B420" t="s">
        <v>501</v>
      </c>
      <c r="C420">
        <v>1699</v>
      </c>
      <c r="D420" t="s">
        <v>1216</v>
      </c>
    </row>
    <row r="421" spans="1:4" x14ac:dyDescent="0.35">
      <c r="A421">
        <v>50516178</v>
      </c>
      <c r="B421" t="s">
        <v>502</v>
      </c>
      <c r="C421">
        <v>2299</v>
      </c>
      <c r="D421" t="s">
        <v>1217</v>
      </c>
    </row>
    <row r="422" spans="1:4" x14ac:dyDescent="0.35">
      <c r="A422">
        <v>50519782</v>
      </c>
      <c r="B422" t="s">
        <v>503</v>
      </c>
      <c r="C422">
        <v>799.99</v>
      </c>
      <c r="D422" t="s">
        <v>1309</v>
      </c>
    </row>
    <row r="423" spans="1:4" x14ac:dyDescent="0.35">
      <c r="A423">
        <v>50520862</v>
      </c>
      <c r="B423" t="s">
        <v>504</v>
      </c>
      <c r="C423">
        <v>997</v>
      </c>
      <c r="D423" t="s">
        <v>1218</v>
      </c>
    </row>
    <row r="424" spans="1:4" x14ac:dyDescent="0.35">
      <c r="A424">
        <v>50520898</v>
      </c>
      <c r="B424" t="s">
        <v>505</v>
      </c>
      <c r="C424">
        <v>1197</v>
      </c>
      <c r="D424" t="s">
        <v>1219</v>
      </c>
    </row>
    <row r="425" spans="1:4" x14ac:dyDescent="0.35">
      <c r="A425">
        <v>50520913</v>
      </c>
      <c r="B425" t="s">
        <v>506</v>
      </c>
      <c r="C425">
        <v>1197</v>
      </c>
      <c r="D425" t="s">
        <v>1220</v>
      </c>
    </row>
    <row r="426" spans="1:4" x14ac:dyDescent="0.35">
      <c r="A426">
        <v>50520925</v>
      </c>
      <c r="B426" t="s">
        <v>507</v>
      </c>
      <c r="C426">
        <v>1497</v>
      </c>
      <c r="D426" t="s">
        <v>1221</v>
      </c>
    </row>
    <row r="427" spans="1:4" x14ac:dyDescent="0.35">
      <c r="A427">
        <v>50522210</v>
      </c>
      <c r="B427" t="s">
        <v>508</v>
      </c>
      <c r="C427">
        <v>397</v>
      </c>
      <c r="D427" t="s">
        <v>1222</v>
      </c>
    </row>
    <row r="428" spans="1:4" x14ac:dyDescent="0.35">
      <c r="A428">
        <v>50525658</v>
      </c>
      <c r="B428" t="s">
        <v>509</v>
      </c>
      <c r="C428">
        <v>995</v>
      </c>
      <c r="D428" t="s">
        <v>1223</v>
      </c>
    </row>
    <row r="429" spans="1:4" x14ac:dyDescent="0.35">
      <c r="A429">
        <v>50525747</v>
      </c>
      <c r="B429" t="s">
        <v>510</v>
      </c>
      <c r="C429">
        <v>1399</v>
      </c>
      <c r="D429" t="s">
        <v>1224</v>
      </c>
    </row>
    <row r="430" spans="1:4" x14ac:dyDescent="0.35">
      <c r="A430">
        <v>50525759</v>
      </c>
      <c r="B430" t="s">
        <v>511</v>
      </c>
      <c r="C430">
        <v>1599</v>
      </c>
      <c r="D430" t="s">
        <v>1225</v>
      </c>
    </row>
    <row r="431" spans="1:4" x14ac:dyDescent="0.35">
      <c r="A431">
        <v>50525800</v>
      </c>
      <c r="B431" t="s">
        <v>512</v>
      </c>
      <c r="C431">
        <v>1899</v>
      </c>
      <c r="D431" t="s">
        <v>1226</v>
      </c>
    </row>
    <row r="432" spans="1:4" x14ac:dyDescent="0.35">
      <c r="A432">
        <v>50528957</v>
      </c>
      <c r="B432" t="s">
        <v>513</v>
      </c>
      <c r="C432">
        <v>897</v>
      </c>
      <c r="D432" t="s">
        <v>1227</v>
      </c>
    </row>
    <row r="433" spans="1:4" x14ac:dyDescent="0.35">
      <c r="A433">
        <v>50528969</v>
      </c>
      <c r="B433" t="s">
        <v>514</v>
      </c>
      <c r="C433">
        <v>695</v>
      </c>
      <c r="D433" t="s">
        <v>1228</v>
      </c>
    </row>
    <row r="434" spans="1:4" x14ac:dyDescent="0.35">
      <c r="A434">
        <v>50528971</v>
      </c>
      <c r="B434" t="s">
        <v>515</v>
      </c>
      <c r="C434">
        <v>997</v>
      </c>
      <c r="D434" t="s">
        <v>1229</v>
      </c>
    </row>
    <row r="435" spans="1:4" x14ac:dyDescent="0.35">
      <c r="A435">
        <v>50529175</v>
      </c>
      <c r="B435" t="s">
        <v>516</v>
      </c>
      <c r="C435">
        <v>677</v>
      </c>
      <c r="D435" t="s">
        <v>1231</v>
      </c>
    </row>
    <row r="436" spans="1:4" x14ac:dyDescent="0.35">
      <c r="A436">
        <v>50529187</v>
      </c>
      <c r="B436" t="s">
        <v>517</v>
      </c>
      <c r="C436">
        <v>1077</v>
      </c>
      <c r="D436" t="s">
        <v>1232</v>
      </c>
    </row>
    <row r="437" spans="1:4" x14ac:dyDescent="0.35">
      <c r="A437">
        <v>50529202</v>
      </c>
      <c r="B437" t="s">
        <v>518</v>
      </c>
      <c r="C437">
        <v>997</v>
      </c>
      <c r="D437" t="s">
        <v>1233</v>
      </c>
    </row>
    <row r="438" spans="1:4" x14ac:dyDescent="0.35">
      <c r="A438">
        <v>50529214</v>
      </c>
      <c r="B438" t="s">
        <v>519</v>
      </c>
      <c r="C438">
        <v>1077</v>
      </c>
      <c r="D438" t="s">
        <v>1234</v>
      </c>
    </row>
    <row r="439" spans="1:4" x14ac:dyDescent="0.35">
      <c r="A439">
        <v>50529240</v>
      </c>
      <c r="B439" t="s">
        <v>520</v>
      </c>
      <c r="C439">
        <v>1297</v>
      </c>
      <c r="D439" t="s">
        <v>1235</v>
      </c>
    </row>
    <row r="440" spans="1:4" x14ac:dyDescent="0.35">
      <c r="A440">
        <v>50529252</v>
      </c>
      <c r="B440" t="s">
        <v>521</v>
      </c>
      <c r="C440">
        <v>1499</v>
      </c>
      <c r="D440" t="s">
        <v>1236</v>
      </c>
    </row>
    <row r="441" spans="1:4" x14ac:dyDescent="0.35">
      <c r="A441">
        <v>50529264</v>
      </c>
      <c r="B441" t="s">
        <v>522</v>
      </c>
      <c r="C441">
        <v>1799</v>
      </c>
      <c r="D441" t="s">
        <v>1237</v>
      </c>
    </row>
    <row r="442" spans="1:4" x14ac:dyDescent="0.35">
      <c r="A442">
        <v>50537057</v>
      </c>
      <c r="B442" t="s">
        <v>523</v>
      </c>
      <c r="C442">
        <v>1999</v>
      </c>
      <c r="D442" t="s">
        <v>1238</v>
      </c>
    </row>
    <row r="443" spans="1:4" x14ac:dyDescent="0.35">
      <c r="A443">
        <v>50537069</v>
      </c>
      <c r="B443" t="s">
        <v>524</v>
      </c>
      <c r="C443">
        <v>2399</v>
      </c>
      <c r="D443" t="s">
        <v>1239</v>
      </c>
    </row>
    <row r="444" spans="1:4" x14ac:dyDescent="0.35">
      <c r="A444">
        <v>50537071</v>
      </c>
      <c r="B444" t="s">
        <v>525</v>
      </c>
      <c r="C444">
        <v>2399</v>
      </c>
      <c r="D444" t="s">
        <v>1240</v>
      </c>
    </row>
    <row r="445" spans="1:4" x14ac:dyDescent="0.35">
      <c r="A445">
        <v>50537083</v>
      </c>
      <c r="B445" t="s">
        <v>526</v>
      </c>
      <c r="C445">
        <v>2699</v>
      </c>
      <c r="D445" t="s">
        <v>1241</v>
      </c>
    </row>
    <row r="446" spans="1:4" x14ac:dyDescent="0.35">
      <c r="A446">
        <v>50537095</v>
      </c>
      <c r="B446" t="s">
        <v>527</v>
      </c>
      <c r="C446">
        <v>2699</v>
      </c>
      <c r="D446" t="s">
        <v>1242</v>
      </c>
    </row>
    <row r="447" spans="1:4" x14ac:dyDescent="0.35">
      <c r="A447">
        <v>50537110</v>
      </c>
      <c r="B447" t="s">
        <v>528</v>
      </c>
      <c r="C447">
        <v>2699</v>
      </c>
      <c r="D447" t="s">
        <v>1243</v>
      </c>
    </row>
    <row r="448" spans="1:4" x14ac:dyDescent="0.35">
      <c r="A448">
        <v>50537122</v>
      </c>
      <c r="B448" t="s">
        <v>529</v>
      </c>
      <c r="C448">
        <v>2999</v>
      </c>
      <c r="D448" t="s">
        <v>1244</v>
      </c>
    </row>
    <row r="449" spans="1:4" x14ac:dyDescent="0.35">
      <c r="A449">
        <v>50537134</v>
      </c>
      <c r="B449" t="s">
        <v>530</v>
      </c>
      <c r="C449">
        <v>2999</v>
      </c>
      <c r="D449" t="s">
        <v>1245</v>
      </c>
    </row>
    <row r="450" spans="1:4" x14ac:dyDescent="0.35">
      <c r="A450">
        <v>50537146</v>
      </c>
      <c r="B450" t="s">
        <v>531</v>
      </c>
      <c r="C450">
        <v>2999</v>
      </c>
      <c r="D450" t="s">
        <v>1246</v>
      </c>
    </row>
    <row r="451" spans="1:4" x14ac:dyDescent="0.35">
      <c r="A451">
        <v>50537158</v>
      </c>
      <c r="B451" t="s">
        <v>532</v>
      </c>
      <c r="C451">
        <v>3199</v>
      </c>
      <c r="D451" t="s">
        <v>1247</v>
      </c>
    </row>
    <row r="452" spans="1:4" x14ac:dyDescent="0.35">
      <c r="A452">
        <v>50537160</v>
      </c>
      <c r="B452" t="s">
        <v>533</v>
      </c>
      <c r="C452">
        <v>3199</v>
      </c>
      <c r="D452" t="s">
        <v>1248</v>
      </c>
    </row>
    <row r="453" spans="1:4" x14ac:dyDescent="0.35">
      <c r="A453">
        <v>50537184</v>
      </c>
      <c r="B453" t="s">
        <v>534</v>
      </c>
      <c r="C453">
        <v>3799</v>
      </c>
      <c r="D453" t="s">
        <v>1250</v>
      </c>
    </row>
    <row r="454" spans="1:4" x14ac:dyDescent="0.35">
      <c r="A454">
        <v>50537196</v>
      </c>
      <c r="B454" t="s">
        <v>535</v>
      </c>
      <c r="C454">
        <v>3799</v>
      </c>
      <c r="D454" t="s">
        <v>1251</v>
      </c>
    </row>
    <row r="455" spans="1:4" x14ac:dyDescent="0.35">
      <c r="A455">
        <v>50537209</v>
      </c>
      <c r="B455" t="s">
        <v>536</v>
      </c>
      <c r="C455">
        <v>4199</v>
      </c>
      <c r="D455" t="s">
        <v>1252</v>
      </c>
    </row>
    <row r="456" spans="1:4" x14ac:dyDescent="0.35">
      <c r="A456">
        <v>50537211</v>
      </c>
      <c r="B456" t="s">
        <v>537</v>
      </c>
      <c r="C456">
        <v>4199</v>
      </c>
      <c r="D456" t="s">
        <v>1253</v>
      </c>
    </row>
    <row r="457" spans="1:4" x14ac:dyDescent="0.35">
      <c r="A457">
        <v>50537223</v>
      </c>
      <c r="B457" t="s">
        <v>538</v>
      </c>
      <c r="C457">
        <v>4199</v>
      </c>
      <c r="D457" t="s">
        <v>1254</v>
      </c>
    </row>
    <row r="458" spans="1:4" x14ac:dyDescent="0.35">
      <c r="A458">
        <v>50537235</v>
      </c>
      <c r="B458" t="s">
        <v>539</v>
      </c>
      <c r="C458">
        <v>5299</v>
      </c>
      <c r="D458" t="s">
        <v>1255</v>
      </c>
    </row>
    <row r="459" spans="1:4" x14ac:dyDescent="0.35">
      <c r="A459">
        <v>50537259</v>
      </c>
      <c r="B459" t="s">
        <v>540</v>
      </c>
      <c r="C459">
        <v>5299</v>
      </c>
      <c r="D459" t="s">
        <v>1256</v>
      </c>
    </row>
    <row r="460" spans="1:4" x14ac:dyDescent="0.35">
      <c r="A460">
        <v>50537261</v>
      </c>
      <c r="B460" t="s">
        <v>541</v>
      </c>
      <c r="C460">
        <v>5299</v>
      </c>
      <c r="D460" t="s">
        <v>1257</v>
      </c>
    </row>
    <row r="461" spans="1:4" x14ac:dyDescent="0.35">
      <c r="A461">
        <v>50537285</v>
      </c>
      <c r="B461" t="s">
        <v>542</v>
      </c>
      <c r="C461">
        <v>1999</v>
      </c>
      <c r="D461" t="s">
        <v>1258</v>
      </c>
    </row>
    <row r="462" spans="1:4" x14ac:dyDescent="0.35">
      <c r="A462">
        <v>50537297</v>
      </c>
      <c r="B462" t="s">
        <v>543</v>
      </c>
      <c r="C462">
        <v>2599</v>
      </c>
      <c r="D462" t="s">
        <v>1259</v>
      </c>
    </row>
    <row r="463" spans="1:4" x14ac:dyDescent="0.35">
      <c r="A463">
        <v>50537312</v>
      </c>
      <c r="B463" t="s">
        <v>544</v>
      </c>
      <c r="C463">
        <v>3199</v>
      </c>
      <c r="D463" t="s">
        <v>1260</v>
      </c>
    </row>
    <row r="464" spans="1:4" x14ac:dyDescent="0.35">
      <c r="A464">
        <v>50537324</v>
      </c>
      <c r="B464" t="s">
        <v>545</v>
      </c>
      <c r="C464">
        <v>3499</v>
      </c>
      <c r="D464" t="s">
        <v>1261</v>
      </c>
    </row>
    <row r="465" spans="1:4" x14ac:dyDescent="0.35">
      <c r="A465">
        <v>50537336</v>
      </c>
      <c r="B465" t="s">
        <v>546</v>
      </c>
      <c r="C465">
        <v>3699</v>
      </c>
      <c r="D465" t="s">
        <v>1262</v>
      </c>
    </row>
    <row r="466" spans="1:4" x14ac:dyDescent="0.35">
      <c r="A466">
        <v>50537348</v>
      </c>
      <c r="B466" t="s">
        <v>547</v>
      </c>
      <c r="C466">
        <v>3699</v>
      </c>
      <c r="D466" t="s">
        <v>1263</v>
      </c>
    </row>
    <row r="467" spans="1:4" x14ac:dyDescent="0.35">
      <c r="A467">
        <v>50537350</v>
      </c>
      <c r="B467" t="s">
        <v>548</v>
      </c>
      <c r="C467">
        <v>4199</v>
      </c>
      <c r="D467" t="s">
        <v>1264</v>
      </c>
    </row>
    <row r="468" spans="1:4" x14ac:dyDescent="0.35">
      <c r="A468">
        <v>50537398</v>
      </c>
      <c r="B468" t="s">
        <v>549</v>
      </c>
      <c r="C468">
        <v>5299</v>
      </c>
      <c r="D468" t="s">
        <v>1265</v>
      </c>
    </row>
    <row r="469" spans="1:4" x14ac:dyDescent="0.35">
      <c r="A469">
        <v>50547995</v>
      </c>
      <c r="B469" t="s">
        <v>550</v>
      </c>
      <c r="C469">
        <v>1999</v>
      </c>
      <c r="D469" t="s">
        <v>1266</v>
      </c>
    </row>
    <row r="470" spans="1:4" x14ac:dyDescent="0.35">
      <c r="A470">
        <v>50548000</v>
      </c>
      <c r="B470" t="s">
        <v>551</v>
      </c>
      <c r="C470">
        <v>1799</v>
      </c>
      <c r="D470" t="s">
        <v>1267</v>
      </c>
    </row>
    <row r="471" spans="1:4" x14ac:dyDescent="0.35">
      <c r="A471">
        <v>50548012</v>
      </c>
      <c r="B471" t="s">
        <v>552</v>
      </c>
      <c r="C471">
        <v>1999</v>
      </c>
      <c r="D471" t="s">
        <v>1268</v>
      </c>
    </row>
    <row r="472" spans="1:4" x14ac:dyDescent="0.35">
      <c r="A472">
        <v>50548024</v>
      </c>
      <c r="B472" t="s">
        <v>553</v>
      </c>
      <c r="C472">
        <v>2399</v>
      </c>
      <c r="D472" t="s">
        <v>1269</v>
      </c>
    </row>
    <row r="473" spans="1:4" x14ac:dyDescent="0.35">
      <c r="A473">
        <v>50548036</v>
      </c>
      <c r="B473" t="s">
        <v>554</v>
      </c>
      <c r="C473">
        <v>2399</v>
      </c>
      <c r="D473" t="s">
        <v>1270</v>
      </c>
    </row>
    <row r="474" spans="1:4" x14ac:dyDescent="0.35">
      <c r="A474">
        <v>50548048</v>
      </c>
      <c r="B474" t="s">
        <v>555</v>
      </c>
      <c r="C474">
        <v>2399</v>
      </c>
      <c r="D474" t="s">
        <v>1271</v>
      </c>
    </row>
    <row r="475" spans="1:4" x14ac:dyDescent="0.35">
      <c r="A475">
        <v>50548050</v>
      </c>
      <c r="B475" t="s">
        <v>556</v>
      </c>
      <c r="C475">
        <v>2599</v>
      </c>
      <c r="D475" t="s">
        <v>1272</v>
      </c>
    </row>
    <row r="476" spans="1:4" x14ac:dyDescent="0.35">
      <c r="A476">
        <v>50548062</v>
      </c>
      <c r="B476" t="s">
        <v>557</v>
      </c>
      <c r="C476">
        <v>2599</v>
      </c>
      <c r="D476" t="s">
        <v>1273</v>
      </c>
    </row>
    <row r="477" spans="1:4" x14ac:dyDescent="0.35">
      <c r="A477">
        <v>50548074</v>
      </c>
      <c r="B477" t="s">
        <v>558</v>
      </c>
      <c r="C477">
        <v>3199</v>
      </c>
      <c r="D477" t="s">
        <v>1274</v>
      </c>
    </row>
    <row r="478" spans="1:4" x14ac:dyDescent="0.35">
      <c r="A478">
        <v>50548098</v>
      </c>
      <c r="B478" t="s">
        <v>559</v>
      </c>
      <c r="C478">
        <v>3199</v>
      </c>
      <c r="D478" t="s">
        <v>1275</v>
      </c>
    </row>
    <row r="479" spans="1:4" x14ac:dyDescent="0.35">
      <c r="A479">
        <v>50548101</v>
      </c>
      <c r="B479" t="s">
        <v>560</v>
      </c>
      <c r="C479">
        <v>3499</v>
      </c>
      <c r="D479" t="s">
        <v>1276</v>
      </c>
    </row>
    <row r="480" spans="1:4" x14ac:dyDescent="0.35">
      <c r="A480">
        <v>50548125</v>
      </c>
      <c r="B480" t="s">
        <v>561</v>
      </c>
      <c r="C480">
        <v>3799</v>
      </c>
      <c r="D480" t="s">
        <v>1278</v>
      </c>
    </row>
    <row r="481" spans="1:4" x14ac:dyDescent="0.35">
      <c r="A481">
        <v>50548151</v>
      </c>
      <c r="B481" t="s">
        <v>562</v>
      </c>
      <c r="C481">
        <v>3599</v>
      </c>
      <c r="D481" t="s">
        <v>1279</v>
      </c>
    </row>
    <row r="482" spans="1:4" x14ac:dyDescent="0.35">
      <c r="A482">
        <v>50548199</v>
      </c>
      <c r="B482" t="s">
        <v>563</v>
      </c>
      <c r="C482">
        <v>4799</v>
      </c>
      <c r="D482" t="s">
        <v>1280</v>
      </c>
    </row>
    <row r="483" spans="1:4" x14ac:dyDescent="0.35">
      <c r="A483">
        <v>50548214</v>
      </c>
      <c r="B483" t="s">
        <v>564</v>
      </c>
      <c r="C483">
        <v>5499</v>
      </c>
      <c r="D483" t="s">
        <v>1281</v>
      </c>
    </row>
    <row r="484" spans="1:4" x14ac:dyDescent="0.35">
      <c r="A484">
        <v>50548238</v>
      </c>
      <c r="B484" t="s">
        <v>565</v>
      </c>
      <c r="C484">
        <v>5499</v>
      </c>
      <c r="D484" t="s">
        <v>1282</v>
      </c>
    </row>
    <row r="485" spans="1:4" x14ac:dyDescent="0.35">
      <c r="A485">
        <v>50548252</v>
      </c>
      <c r="B485" t="s">
        <v>566</v>
      </c>
      <c r="C485">
        <v>6499</v>
      </c>
      <c r="D485" t="s">
        <v>1326</v>
      </c>
    </row>
    <row r="486" spans="1:4" x14ac:dyDescent="0.35">
      <c r="A486">
        <v>50548276</v>
      </c>
      <c r="B486" t="s">
        <v>567</v>
      </c>
      <c r="C486">
        <v>4199</v>
      </c>
      <c r="D486" t="s">
        <v>1283</v>
      </c>
    </row>
    <row r="487" spans="1:4" x14ac:dyDescent="0.35">
      <c r="A487">
        <v>50548290</v>
      </c>
      <c r="B487" t="s">
        <v>569</v>
      </c>
      <c r="C487">
        <v>3599</v>
      </c>
      <c r="D487" t="s">
        <v>1284</v>
      </c>
    </row>
    <row r="488" spans="1:4" x14ac:dyDescent="0.35">
      <c r="A488">
        <v>50570108</v>
      </c>
      <c r="B488" t="s">
        <v>570</v>
      </c>
      <c r="C488">
        <v>1099</v>
      </c>
      <c r="D488" t="s">
        <v>1285</v>
      </c>
    </row>
    <row r="489" spans="1:4" x14ac:dyDescent="0.35">
      <c r="A489">
        <v>50570110</v>
      </c>
      <c r="B489" t="s">
        <v>571</v>
      </c>
      <c r="C489">
        <v>2118</v>
      </c>
      <c r="D489" t="s">
        <v>1286</v>
      </c>
    </row>
    <row r="490" spans="1:4" x14ac:dyDescent="0.35">
      <c r="A490">
        <v>50570122</v>
      </c>
      <c r="B490" t="s">
        <v>572</v>
      </c>
      <c r="C490">
        <v>2999</v>
      </c>
      <c r="D490" t="s">
        <v>1287</v>
      </c>
    </row>
    <row r="491" spans="1:4" x14ac:dyDescent="0.35">
      <c r="A491">
        <v>50600482</v>
      </c>
      <c r="B491" t="s">
        <v>573</v>
      </c>
      <c r="C491">
        <v>699</v>
      </c>
      <c r="D491" t="s">
        <v>1322</v>
      </c>
    </row>
    <row r="492" spans="1:4" x14ac:dyDescent="0.35">
      <c r="A492">
        <v>50600519</v>
      </c>
      <c r="B492" t="s">
        <v>574</v>
      </c>
      <c r="C492">
        <v>1499</v>
      </c>
      <c r="D492" t="s">
        <v>1323</v>
      </c>
    </row>
    <row r="493" spans="1:4" x14ac:dyDescent="0.35">
      <c r="A493">
        <v>50607981</v>
      </c>
      <c r="B493" t="s">
        <v>575</v>
      </c>
      <c r="C493">
        <v>380</v>
      </c>
      <c r="D493" t="s">
        <v>1318</v>
      </c>
    </row>
    <row r="494" spans="1:4" x14ac:dyDescent="0.35">
      <c r="A494">
        <v>50608161</v>
      </c>
      <c r="B494" t="s">
        <v>576</v>
      </c>
      <c r="C494">
        <v>1699</v>
      </c>
      <c r="D494" t="s">
        <v>1324</v>
      </c>
    </row>
    <row r="495" spans="1:4" x14ac:dyDescent="0.35">
      <c r="A495">
        <v>50608185</v>
      </c>
      <c r="B495" t="s">
        <v>577</v>
      </c>
      <c r="C495">
        <v>2199</v>
      </c>
      <c r="D495" t="s">
        <v>1325</v>
      </c>
    </row>
    <row r="496" spans="1:4" x14ac:dyDescent="0.35">
      <c r="A496">
        <v>50608197</v>
      </c>
      <c r="B496" t="s">
        <v>578</v>
      </c>
      <c r="C496">
        <v>2699</v>
      </c>
      <c r="D496" t="s">
        <v>1327</v>
      </c>
    </row>
    <row r="497" spans="1:4" x14ac:dyDescent="0.35">
      <c r="A497">
        <v>50608224</v>
      </c>
      <c r="B497" t="s">
        <v>580</v>
      </c>
      <c r="C497">
        <v>3599</v>
      </c>
      <c r="D497" t="s">
        <v>1328</v>
      </c>
    </row>
    <row r="498" spans="1:4" x14ac:dyDescent="0.35">
      <c r="A498">
        <v>50608832</v>
      </c>
      <c r="B498" t="s">
        <v>581</v>
      </c>
      <c r="C498">
        <v>599</v>
      </c>
      <c r="D498" t="s">
        <v>1329</v>
      </c>
    </row>
    <row r="499" spans="1:4" x14ac:dyDescent="0.35">
      <c r="A499">
        <v>50608894</v>
      </c>
      <c r="B499" t="s">
        <v>584</v>
      </c>
      <c r="C499">
        <v>799</v>
      </c>
      <c r="D499" t="s">
        <v>1330</v>
      </c>
    </row>
    <row r="500" spans="1:4" x14ac:dyDescent="0.35">
      <c r="A500">
        <v>50608957</v>
      </c>
      <c r="B500" t="s">
        <v>585</v>
      </c>
      <c r="C500">
        <v>1599</v>
      </c>
      <c r="D500" t="s">
        <v>1331</v>
      </c>
    </row>
    <row r="501" spans="1:4" x14ac:dyDescent="0.35">
      <c r="A501">
        <v>50611081</v>
      </c>
      <c r="B501" t="s">
        <v>575</v>
      </c>
      <c r="C501">
        <v>250</v>
      </c>
      <c r="D501" t="s">
        <v>1318</v>
      </c>
    </row>
    <row r="502" spans="1:4" x14ac:dyDescent="0.35">
      <c r="A502">
        <v>50611524</v>
      </c>
      <c r="B502" t="s">
        <v>575</v>
      </c>
      <c r="C502">
        <v>250</v>
      </c>
      <c r="D502" t="s">
        <v>1318</v>
      </c>
    </row>
    <row r="503" spans="1:4" x14ac:dyDescent="0.35">
      <c r="A503">
        <v>50614657</v>
      </c>
      <c r="B503" t="s">
        <v>308</v>
      </c>
      <c r="D503" t="s">
        <v>1318</v>
      </c>
    </row>
    <row r="504" spans="1:4" x14ac:dyDescent="0.35">
      <c r="A504">
        <v>50614760</v>
      </c>
      <c r="B504" t="s">
        <v>575</v>
      </c>
      <c r="C504">
        <v>250</v>
      </c>
      <c r="D504" t="s">
        <v>1318</v>
      </c>
    </row>
    <row r="505" spans="1:4" x14ac:dyDescent="0.35">
      <c r="A505">
        <v>50615609</v>
      </c>
      <c r="B505" t="s">
        <v>575</v>
      </c>
      <c r="C505">
        <v>250</v>
      </c>
      <c r="D505" t="s">
        <v>1318</v>
      </c>
    </row>
    <row r="506" spans="1:4" x14ac:dyDescent="0.35">
      <c r="A506">
        <v>50615659</v>
      </c>
      <c r="B506" t="s">
        <v>308</v>
      </c>
      <c r="D506" t="s">
        <v>1318</v>
      </c>
    </row>
    <row r="507" spans="1:4" x14ac:dyDescent="0.35">
      <c r="A507">
        <v>50616182</v>
      </c>
      <c r="B507" t="s">
        <v>575</v>
      </c>
      <c r="C507">
        <v>300</v>
      </c>
      <c r="D507" t="s">
        <v>1318</v>
      </c>
    </row>
    <row r="508" spans="1:4" x14ac:dyDescent="0.35">
      <c r="A508">
        <v>50618605</v>
      </c>
      <c r="B508" t="s">
        <v>587</v>
      </c>
      <c r="C508">
        <v>999</v>
      </c>
      <c r="D508" t="s">
        <v>1319</v>
      </c>
    </row>
    <row r="509" spans="1:4" x14ac:dyDescent="0.35">
      <c r="A509">
        <v>50619950</v>
      </c>
      <c r="B509" t="s">
        <v>308</v>
      </c>
      <c r="D509" t="s">
        <v>1318</v>
      </c>
    </row>
    <row r="510" spans="1:4" x14ac:dyDescent="0.35">
      <c r="A510">
        <v>50620939</v>
      </c>
      <c r="B510" t="s">
        <v>575</v>
      </c>
      <c r="C510">
        <v>250</v>
      </c>
      <c r="D510" t="s">
        <v>1318</v>
      </c>
    </row>
    <row r="511" spans="1:4" x14ac:dyDescent="0.35">
      <c r="A511">
        <v>50622262</v>
      </c>
      <c r="B511" t="s">
        <v>575</v>
      </c>
      <c r="C511">
        <v>250</v>
      </c>
      <c r="D511" t="s">
        <v>1318</v>
      </c>
    </row>
    <row r="512" spans="1:4" x14ac:dyDescent="0.35">
      <c r="A512">
        <v>50622604</v>
      </c>
      <c r="B512" t="s">
        <v>588</v>
      </c>
      <c r="C512">
        <v>89.99</v>
      </c>
      <c r="D512" t="s">
        <v>1320</v>
      </c>
    </row>
    <row r="513" spans="1:4" x14ac:dyDescent="0.35">
      <c r="A513">
        <v>50622628</v>
      </c>
      <c r="B513" t="s">
        <v>589</v>
      </c>
      <c r="C513">
        <v>250</v>
      </c>
      <c r="D513" t="s">
        <v>1318</v>
      </c>
    </row>
    <row r="514" spans="1:4" x14ac:dyDescent="0.35">
      <c r="A514">
        <v>50629278</v>
      </c>
      <c r="B514" t="s">
        <v>575</v>
      </c>
      <c r="C514">
        <v>250</v>
      </c>
      <c r="D514" t="s">
        <v>1318</v>
      </c>
    </row>
    <row r="515" spans="1:4" x14ac:dyDescent="0.35">
      <c r="A515">
        <v>50637807</v>
      </c>
      <c r="B515" t="s">
        <v>590</v>
      </c>
      <c r="C515">
        <v>300</v>
      </c>
      <c r="D515" t="s">
        <v>1318</v>
      </c>
    </row>
    <row r="516" spans="1:4" x14ac:dyDescent="0.35">
      <c r="A516">
        <v>50648507</v>
      </c>
      <c r="B516" t="s">
        <v>591</v>
      </c>
      <c r="C516">
        <v>315</v>
      </c>
      <c r="D516" t="s">
        <v>1318</v>
      </c>
    </row>
    <row r="517" spans="1:4" x14ac:dyDescent="0.35">
      <c r="A517">
        <v>50652633</v>
      </c>
      <c r="B517" t="s">
        <v>575</v>
      </c>
      <c r="C517">
        <v>250</v>
      </c>
      <c r="D517" t="s">
        <v>1318</v>
      </c>
    </row>
    <row r="518" spans="1:4" x14ac:dyDescent="0.35">
      <c r="A518">
        <v>50683474</v>
      </c>
      <c r="B518" t="s">
        <v>592</v>
      </c>
      <c r="C518">
        <v>250</v>
      </c>
      <c r="D518" t="s">
        <v>1318</v>
      </c>
    </row>
    <row r="519" spans="1:4" x14ac:dyDescent="0.35">
      <c r="A519">
        <v>50699047</v>
      </c>
      <c r="B519" t="s">
        <v>308</v>
      </c>
      <c r="D519" t="s">
        <v>1318</v>
      </c>
    </row>
    <row r="520" spans="1:4" x14ac:dyDescent="0.35">
      <c r="A520">
        <v>50699148</v>
      </c>
      <c r="B520" t="s">
        <v>308</v>
      </c>
      <c r="D520" t="s">
        <v>1318</v>
      </c>
    </row>
    <row r="521" spans="1:4" x14ac:dyDescent="0.35">
      <c r="A521">
        <v>50699340</v>
      </c>
      <c r="B521" t="s">
        <v>308</v>
      </c>
      <c r="D521" t="s">
        <v>1318</v>
      </c>
    </row>
    <row r="522" spans="1:4" x14ac:dyDescent="0.35">
      <c r="A522">
        <v>50699352</v>
      </c>
      <c r="B522" t="s">
        <v>308</v>
      </c>
      <c r="D522" t="s">
        <v>1318</v>
      </c>
    </row>
    <row r="523" spans="1:4" x14ac:dyDescent="0.35">
      <c r="A523">
        <v>50700547</v>
      </c>
      <c r="B523" t="s">
        <v>593</v>
      </c>
      <c r="C523">
        <v>1319</v>
      </c>
      <c r="D523" t="s">
        <v>1165</v>
      </c>
    </row>
    <row r="524" spans="1:4" x14ac:dyDescent="0.35">
      <c r="A524">
        <v>50700559</v>
      </c>
      <c r="B524" t="s">
        <v>595</v>
      </c>
      <c r="C524">
        <v>1119</v>
      </c>
      <c r="D524" t="s">
        <v>1166</v>
      </c>
    </row>
    <row r="525" spans="1:4" x14ac:dyDescent="0.35">
      <c r="A525">
        <v>50700561</v>
      </c>
      <c r="B525" t="s">
        <v>596</v>
      </c>
      <c r="C525">
        <v>1995</v>
      </c>
      <c r="D525" t="s">
        <v>1167</v>
      </c>
    </row>
    <row r="526" spans="1:4" x14ac:dyDescent="0.35">
      <c r="A526">
        <v>50700573</v>
      </c>
      <c r="B526" t="s">
        <v>597</v>
      </c>
      <c r="C526">
        <v>2595</v>
      </c>
      <c r="D526" t="s">
        <v>1168</v>
      </c>
    </row>
    <row r="527" spans="1:4" x14ac:dyDescent="0.35">
      <c r="A527">
        <v>50700585</v>
      </c>
      <c r="B527" t="s">
        <v>598</v>
      </c>
      <c r="C527">
        <v>3895</v>
      </c>
      <c r="D527" t="s">
        <v>1169</v>
      </c>
    </row>
    <row r="528" spans="1:4" x14ac:dyDescent="0.35">
      <c r="A528">
        <v>50700597</v>
      </c>
      <c r="B528" t="s">
        <v>599</v>
      </c>
      <c r="C528">
        <v>3195</v>
      </c>
      <c r="D528" t="s">
        <v>1170</v>
      </c>
    </row>
    <row r="529" spans="1:4" x14ac:dyDescent="0.35">
      <c r="A529">
        <v>50700686</v>
      </c>
      <c r="B529" t="s">
        <v>600</v>
      </c>
      <c r="C529">
        <v>1199</v>
      </c>
      <c r="D529" t="s">
        <v>1171</v>
      </c>
    </row>
    <row r="530" spans="1:4" x14ac:dyDescent="0.35">
      <c r="A530">
        <v>50701777</v>
      </c>
      <c r="B530" t="s">
        <v>601</v>
      </c>
      <c r="C530">
        <v>1777</v>
      </c>
      <c r="D530" t="s">
        <v>1172</v>
      </c>
    </row>
    <row r="531" spans="1:4" x14ac:dyDescent="0.35">
      <c r="A531">
        <v>50701789</v>
      </c>
      <c r="B531" t="s">
        <v>602</v>
      </c>
      <c r="C531">
        <v>1099</v>
      </c>
      <c r="D531" t="s">
        <v>1292</v>
      </c>
    </row>
    <row r="532" spans="1:4" x14ac:dyDescent="0.35">
      <c r="A532">
        <v>50707464</v>
      </c>
      <c r="B532" t="s">
        <v>603</v>
      </c>
      <c r="C532">
        <v>2899</v>
      </c>
      <c r="D532" t="s">
        <v>1175</v>
      </c>
    </row>
    <row r="533" spans="1:4" x14ac:dyDescent="0.35">
      <c r="A533">
        <v>50707476</v>
      </c>
      <c r="B533" t="s">
        <v>604</v>
      </c>
      <c r="C533">
        <v>3199</v>
      </c>
      <c r="D533" t="s">
        <v>1176</v>
      </c>
    </row>
    <row r="534" spans="1:4" x14ac:dyDescent="0.35">
      <c r="A534">
        <v>50707488</v>
      </c>
      <c r="B534" t="s">
        <v>605</v>
      </c>
      <c r="C534">
        <v>4099</v>
      </c>
      <c r="D534" t="s">
        <v>1177</v>
      </c>
    </row>
    <row r="535" spans="1:4" x14ac:dyDescent="0.35">
      <c r="A535">
        <v>50707503</v>
      </c>
      <c r="B535" t="s">
        <v>606</v>
      </c>
      <c r="C535">
        <v>5099</v>
      </c>
      <c r="D535" t="s">
        <v>1178</v>
      </c>
    </row>
    <row r="536" spans="1:4" x14ac:dyDescent="0.35">
      <c r="A536">
        <v>50707515</v>
      </c>
      <c r="B536" t="s">
        <v>607</v>
      </c>
      <c r="C536">
        <v>5099</v>
      </c>
      <c r="D536" t="s">
        <v>1179</v>
      </c>
    </row>
    <row r="537" spans="1:4" x14ac:dyDescent="0.35">
      <c r="A537">
        <v>50707527</v>
      </c>
      <c r="B537" t="s">
        <v>608</v>
      </c>
      <c r="C537">
        <v>4099</v>
      </c>
      <c r="D537" t="s">
        <v>1180</v>
      </c>
    </row>
    <row r="538" spans="1:4" x14ac:dyDescent="0.35">
      <c r="A538">
        <v>50707539</v>
      </c>
      <c r="B538" t="s">
        <v>609</v>
      </c>
      <c r="C538">
        <v>4099</v>
      </c>
      <c r="D538" t="s">
        <v>1181</v>
      </c>
    </row>
    <row r="539" spans="1:4" x14ac:dyDescent="0.35">
      <c r="A539">
        <v>50707553</v>
      </c>
      <c r="B539" t="s">
        <v>610</v>
      </c>
      <c r="C539">
        <v>4099</v>
      </c>
      <c r="D539" t="s">
        <v>1182</v>
      </c>
    </row>
    <row r="540" spans="1:4" x14ac:dyDescent="0.35">
      <c r="A540">
        <v>50707565</v>
      </c>
      <c r="B540" t="s">
        <v>611</v>
      </c>
      <c r="C540">
        <v>5399</v>
      </c>
      <c r="D540" t="s">
        <v>1183</v>
      </c>
    </row>
    <row r="541" spans="1:4" x14ac:dyDescent="0.35">
      <c r="A541">
        <v>50707577</v>
      </c>
      <c r="B541" t="s">
        <v>612</v>
      </c>
      <c r="C541">
        <v>5399</v>
      </c>
      <c r="D541" t="s">
        <v>1184</v>
      </c>
    </row>
    <row r="542" spans="1:4" x14ac:dyDescent="0.35">
      <c r="A542">
        <v>50707589</v>
      </c>
      <c r="B542" t="s">
        <v>613</v>
      </c>
      <c r="C542">
        <v>5399</v>
      </c>
      <c r="D542" t="s">
        <v>1185</v>
      </c>
    </row>
    <row r="543" spans="1:4" x14ac:dyDescent="0.35">
      <c r="A543">
        <v>50707591</v>
      </c>
      <c r="B543" t="s">
        <v>614</v>
      </c>
      <c r="C543">
        <v>7399</v>
      </c>
      <c r="D543" t="s">
        <v>1186</v>
      </c>
    </row>
    <row r="544" spans="1:4" x14ac:dyDescent="0.35">
      <c r="A544">
        <v>50707604</v>
      </c>
      <c r="B544" t="s">
        <v>615</v>
      </c>
      <c r="C544">
        <v>6399</v>
      </c>
      <c r="D544" t="s">
        <v>1187</v>
      </c>
    </row>
    <row r="545" spans="1:4" x14ac:dyDescent="0.35">
      <c r="A545">
        <v>50707616</v>
      </c>
      <c r="B545" t="s">
        <v>616</v>
      </c>
      <c r="C545">
        <v>6399</v>
      </c>
      <c r="D545" t="s">
        <v>1188</v>
      </c>
    </row>
    <row r="546" spans="1:4" x14ac:dyDescent="0.35">
      <c r="A546">
        <v>50707628</v>
      </c>
      <c r="B546" t="s">
        <v>617</v>
      </c>
      <c r="C546">
        <v>6399</v>
      </c>
      <c r="D546" t="s">
        <v>1189</v>
      </c>
    </row>
    <row r="547" spans="1:4" x14ac:dyDescent="0.35">
      <c r="A547">
        <v>50709874</v>
      </c>
      <c r="B547" t="s">
        <v>618</v>
      </c>
      <c r="C547">
        <v>1397</v>
      </c>
      <c r="D547" t="s">
        <v>1190</v>
      </c>
    </row>
    <row r="548" spans="1:4" x14ac:dyDescent="0.35">
      <c r="A548">
        <v>50709886</v>
      </c>
      <c r="B548" t="s">
        <v>619</v>
      </c>
      <c r="C548">
        <v>1495</v>
      </c>
      <c r="D548" t="s">
        <v>1191</v>
      </c>
    </row>
    <row r="549" spans="1:4" x14ac:dyDescent="0.35">
      <c r="A549">
        <v>50709898</v>
      </c>
      <c r="B549" t="s">
        <v>620</v>
      </c>
      <c r="C549">
        <v>2197</v>
      </c>
      <c r="D549" t="s">
        <v>1192</v>
      </c>
    </row>
    <row r="550" spans="1:4" x14ac:dyDescent="0.35">
      <c r="A550">
        <v>50709901</v>
      </c>
      <c r="B550" t="s">
        <v>621</v>
      </c>
      <c r="C550">
        <v>2497</v>
      </c>
      <c r="D550" t="s">
        <v>1193</v>
      </c>
    </row>
    <row r="551" spans="1:4" x14ac:dyDescent="0.35">
      <c r="A551">
        <v>50709937</v>
      </c>
      <c r="B551" t="s">
        <v>622</v>
      </c>
      <c r="C551">
        <v>1177</v>
      </c>
      <c r="D551" t="s">
        <v>1194</v>
      </c>
    </row>
    <row r="552" spans="1:4" x14ac:dyDescent="0.35">
      <c r="A552">
        <v>50710574</v>
      </c>
      <c r="B552" t="s">
        <v>623</v>
      </c>
      <c r="C552">
        <v>897</v>
      </c>
      <c r="D552" t="s">
        <v>1195</v>
      </c>
    </row>
    <row r="553" spans="1:4" x14ac:dyDescent="0.35">
      <c r="A553">
        <v>50710675</v>
      </c>
      <c r="B553" t="s">
        <v>624</v>
      </c>
      <c r="C553">
        <v>1195</v>
      </c>
      <c r="D553" t="s">
        <v>1196</v>
      </c>
    </row>
    <row r="554" spans="1:4" x14ac:dyDescent="0.35">
      <c r="A554">
        <v>50711297</v>
      </c>
      <c r="B554" t="s">
        <v>625</v>
      </c>
      <c r="C554">
        <v>497</v>
      </c>
      <c r="D554" t="s">
        <v>1203</v>
      </c>
    </row>
    <row r="555" spans="1:4" x14ac:dyDescent="0.35">
      <c r="A555">
        <v>50711312</v>
      </c>
      <c r="B555" t="s">
        <v>626</v>
      </c>
      <c r="C555">
        <v>597</v>
      </c>
      <c r="D555" t="s">
        <v>1204</v>
      </c>
    </row>
    <row r="556" spans="1:4" x14ac:dyDescent="0.35">
      <c r="A556">
        <v>50711324</v>
      </c>
      <c r="B556" t="s">
        <v>627</v>
      </c>
      <c r="C556">
        <v>797</v>
      </c>
      <c r="D556" t="s">
        <v>1205</v>
      </c>
    </row>
    <row r="557" spans="1:4" x14ac:dyDescent="0.35">
      <c r="A557">
        <v>50711336</v>
      </c>
      <c r="B557" t="s">
        <v>628</v>
      </c>
      <c r="C557">
        <v>947</v>
      </c>
      <c r="D557" t="s">
        <v>1206</v>
      </c>
    </row>
    <row r="558" spans="1:4" x14ac:dyDescent="0.35">
      <c r="A558">
        <v>50711348</v>
      </c>
      <c r="B558" t="s">
        <v>629</v>
      </c>
      <c r="C558">
        <v>1097</v>
      </c>
      <c r="D558" t="s">
        <v>1207</v>
      </c>
    </row>
    <row r="559" spans="1:4" x14ac:dyDescent="0.35">
      <c r="A559">
        <v>50711350</v>
      </c>
      <c r="B559" t="s">
        <v>630</v>
      </c>
      <c r="C559">
        <v>1297</v>
      </c>
      <c r="D559" t="s">
        <v>1208</v>
      </c>
    </row>
    <row r="560" spans="1:4" x14ac:dyDescent="0.35">
      <c r="A560">
        <v>50711362</v>
      </c>
      <c r="B560" t="s">
        <v>631</v>
      </c>
      <c r="C560">
        <v>897</v>
      </c>
      <c r="D560" t="s">
        <v>1209</v>
      </c>
    </row>
    <row r="561" spans="1:4" x14ac:dyDescent="0.35">
      <c r="A561">
        <v>50711374</v>
      </c>
      <c r="B561" t="s">
        <v>632</v>
      </c>
      <c r="C561">
        <v>549</v>
      </c>
      <c r="D561" t="s">
        <v>1210</v>
      </c>
    </row>
    <row r="562" spans="1:4" x14ac:dyDescent="0.35">
      <c r="A562">
        <v>50711386</v>
      </c>
      <c r="B562" t="s">
        <v>633</v>
      </c>
      <c r="C562">
        <v>1177</v>
      </c>
      <c r="D562" t="s">
        <v>1211</v>
      </c>
    </row>
    <row r="563" spans="1:4" x14ac:dyDescent="0.35">
      <c r="A563">
        <v>50711449</v>
      </c>
      <c r="B563" t="s">
        <v>634</v>
      </c>
      <c r="C563">
        <v>1597</v>
      </c>
      <c r="D563" t="s">
        <v>1212</v>
      </c>
    </row>
    <row r="564" spans="1:4" x14ac:dyDescent="0.35">
      <c r="A564">
        <v>50711451</v>
      </c>
      <c r="B564" t="s">
        <v>635</v>
      </c>
      <c r="C564">
        <v>1899.99</v>
      </c>
      <c r="D564" t="s">
        <v>1213</v>
      </c>
    </row>
    <row r="565" spans="1:4" x14ac:dyDescent="0.35">
      <c r="A565">
        <v>50711499</v>
      </c>
      <c r="B565" t="s">
        <v>636</v>
      </c>
      <c r="C565">
        <v>2299.9899999999998</v>
      </c>
      <c r="D565" t="s">
        <v>1214</v>
      </c>
    </row>
    <row r="566" spans="1:4" x14ac:dyDescent="0.35">
      <c r="A566">
        <v>50714584</v>
      </c>
      <c r="B566" t="s">
        <v>637</v>
      </c>
      <c r="C566">
        <v>599.99</v>
      </c>
      <c r="D566" t="s">
        <v>1332</v>
      </c>
    </row>
    <row r="567" spans="1:4" x14ac:dyDescent="0.35">
      <c r="A567">
        <v>50715598</v>
      </c>
      <c r="B567" t="s">
        <v>638</v>
      </c>
      <c r="C567">
        <v>1245</v>
      </c>
      <c r="D567" t="s">
        <v>1215</v>
      </c>
    </row>
    <row r="568" spans="1:4" x14ac:dyDescent="0.35">
      <c r="A568">
        <v>50716160</v>
      </c>
      <c r="B568" t="s">
        <v>639</v>
      </c>
      <c r="C568">
        <v>2299</v>
      </c>
      <c r="D568" t="s">
        <v>1216</v>
      </c>
    </row>
    <row r="569" spans="1:4" x14ac:dyDescent="0.35">
      <c r="A569">
        <v>50716172</v>
      </c>
      <c r="B569" t="s">
        <v>640</v>
      </c>
      <c r="C569">
        <v>2899</v>
      </c>
      <c r="D569" t="s">
        <v>1217</v>
      </c>
    </row>
    <row r="570" spans="1:4" x14ac:dyDescent="0.35">
      <c r="A570">
        <v>50719786</v>
      </c>
      <c r="B570" t="s">
        <v>641</v>
      </c>
      <c r="C570">
        <v>1099.99</v>
      </c>
      <c r="D570" t="s">
        <v>1309</v>
      </c>
    </row>
    <row r="571" spans="1:4" x14ac:dyDescent="0.35">
      <c r="A571">
        <v>50720866</v>
      </c>
      <c r="B571" t="s">
        <v>642</v>
      </c>
      <c r="C571">
        <v>1397</v>
      </c>
      <c r="D571" t="s">
        <v>1218</v>
      </c>
    </row>
    <row r="572" spans="1:4" x14ac:dyDescent="0.35">
      <c r="A572">
        <v>50720892</v>
      </c>
      <c r="B572" t="s">
        <v>643</v>
      </c>
      <c r="C572">
        <v>1697</v>
      </c>
      <c r="D572" t="s">
        <v>1219</v>
      </c>
    </row>
    <row r="573" spans="1:4" x14ac:dyDescent="0.35">
      <c r="A573">
        <v>50720917</v>
      </c>
      <c r="B573" t="s">
        <v>644</v>
      </c>
      <c r="C573">
        <v>1697</v>
      </c>
      <c r="D573" t="s">
        <v>1220</v>
      </c>
    </row>
    <row r="574" spans="1:4" x14ac:dyDescent="0.35">
      <c r="A574">
        <v>50720929</v>
      </c>
      <c r="B574" t="s">
        <v>645</v>
      </c>
      <c r="C574">
        <v>2097</v>
      </c>
      <c r="D574" t="s">
        <v>1221</v>
      </c>
    </row>
    <row r="575" spans="1:4" x14ac:dyDescent="0.35">
      <c r="A575">
        <v>50722214</v>
      </c>
      <c r="B575" t="s">
        <v>646</v>
      </c>
      <c r="C575">
        <v>697</v>
      </c>
      <c r="D575" t="s">
        <v>1222</v>
      </c>
    </row>
    <row r="576" spans="1:4" x14ac:dyDescent="0.35">
      <c r="A576">
        <v>50725652</v>
      </c>
      <c r="B576" t="s">
        <v>647</v>
      </c>
      <c r="C576">
        <v>1495</v>
      </c>
      <c r="D576" t="s">
        <v>1223</v>
      </c>
    </row>
    <row r="577" spans="1:4" x14ac:dyDescent="0.35">
      <c r="A577">
        <v>50725741</v>
      </c>
      <c r="B577" t="s">
        <v>648</v>
      </c>
      <c r="C577">
        <v>1749</v>
      </c>
      <c r="D577" t="s">
        <v>1224</v>
      </c>
    </row>
    <row r="578" spans="1:4" x14ac:dyDescent="0.35">
      <c r="A578">
        <v>50725753</v>
      </c>
      <c r="B578" t="s">
        <v>649</v>
      </c>
      <c r="C578">
        <v>1949</v>
      </c>
      <c r="D578" t="s">
        <v>1225</v>
      </c>
    </row>
    <row r="579" spans="1:4" x14ac:dyDescent="0.35">
      <c r="A579">
        <v>50725804</v>
      </c>
      <c r="B579" t="s">
        <v>650</v>
      </c>
      <c r="C579">
        <v>2299</v>
      </c>
      <c r="D579" t="s">
        <v>1226</v>
      </c>
    </row>
    <row r="580" spans="1:4" x14ac:dyDescent="0.35">
      <c r="A580">
        <v>50728951</v>
      </c>
      <c r="B580" t="s">
        <v>651</v>
      </c>
      <c r="C580">
        <v>1397</v>
      </c>
      <c r="D580" t="s">
        <v>1227</v>
      </c>
    </row>
    <row r="581" spans="1:4" x14ac:dyDescent="0.35">
      <c r="A581">
        <v>50728963</v>
      </c>
      <c r="B581" t="s">
        <v>652</v>
      </c>
      <c r="C581">
        <v>995</v>
      </c>
      <c r="D581" t="s">
        <v>1228</v>
      </c>
    </row>
    <row r="582" spans="1:4" x14ac:dyDescent="0.35">
      <c r="A582">
        <v>50728975</v>
      </c>
      <c r="B582" t="s">
        <v>653</v>
      </c>
      <c r="C582">
        <v>1497</v>
      </c>
      <c r="D582" t="s">
        <v>1229</v>
      </c>
    </row>
    <row r="583" spans="1:4" x14ac:dyDescent="0.35">
      <c r="A583">
        <v>50729179</v>
      </c>
      <c r="B583" t="s">
        <v>654</v>
      </c>
      <c r="C583">
        <v>1077</v>
      </c>
      <c r="D583" t="s">
        <v>1231</v>
      </c>
    </row>
    <row r="584" spans="1:4" x14ac:dyDescent="0.35">
      <c r="A584">
        <v>50729181</v>
      </c>
      <c r="B584" t="s">
        <v>655</v>
      </c>
      <c r="C584">
        <v>1477</v>
      </c>
      <c r="D584" t="s">
        <v>1232</v>
      </c>
    </row>
    <row r="585" spans="1:4" x14ac:dyDescent="0.35">
      <c r="A585">
        <v>50729206</v>
      </c>
      <c r="B585" t="s">
        <v>656</v>
      </c>
      <c r="C585">
        <v>1397</v>
      </c>
      <c r="D585" t="s">
        <v>1233</v>
      </c>
    </row>
    <row r="586" spans="1:4" x14ac:dyDescent="0.35">
      <c r="A586">
        <v>50729218</v>
      </c>
      <c r="B586" t="s">
        <v>657</v>
      </c>
      <c r="C586">
        <v>1577</v>
      </c>
      <c r="D586" t="s">
        <v>1234</v>
      </c>
    </row>
    <row r="587" spans="1:4" x14ac:dyDescent="0.35">
      <c r="A587">
        <v>50729244</v>
      </c>
      <c r="B587" t="s">
        <v>658</v>
      </c>
      <c r="C587">
        <v>1797</v>
      </c>
      <c r="D587" t="s">
        <v>1235</v>
      </c>
    </row>
    <row r="588" spans="1:4" x14ac:dyDescent="0.35">
      <c r="A588">
        <v>50729256</v>
      </c>
      <c r="B588" t="s">
        <v>659</v>
      </c>
      <c r="C588">
        <v>1999</v>
      </c>
      <c r="D588" t="s">
        <v>1236</v>
      </c>
    </row>
    <row r="589" spans="1:4" x14ac:dyDescent="0.35">
      <c r="A589">
        <v>50729268</v>
      </c>
      <c r="B589" t="s">
        <v>660</v>
      </c>
      <c r="C589">
        <v>2299</v>
      </c>
      <c r="D589" t="s">
        <v>1237</v>
      </c>
    </row>
    <row r="590" spans="1:4" x14ac:dyDescent="0.35">
      <c r="A590">
        <v>50737051</v>
      </c>
      <c r="B590" t="s">
        <v>661</v>
      </c>
      <c r="C590">
        <v>2599</v>
      </c>
      <c r="D590" t="s">
        <v>1238</v>
      </c>
    </row>
    <row r="591" spans="1:4" x14ac:dyDescent="0.35">
      <c r="A591">
        <v>50737063</v>
      </c>
      <c r="B591" t="s">
        <v>662</v>
      </c>
      <c r="C591">
        <v>2999</v>
      </c>
      <c r="D591" t="s">
        <v>1239</v>
      </c>
    </row>
    <row r="592" spans="1:4" x14ac:dyDescent="0.35">
      <c r="A592">
        <v>50737087</v>
      </c>
      <c r="B592" t="s">
        <v>663</v>
      </c>
      <c r="C592">
        <v>3299</v>
      </c>
      <c r="D592" t="s">
        <v>1241</v>
      </c>
    </row>
    <row r="593" spans="1:4" x14ac:dyDescent="0.35">
      <c r="A593">
        <v>50737099</v>
      </c>
      <c r="B593" t="s">
        <v>664</v>
      </c>
      <c r="C593">
        <v>3299</v>
      </c>
      <c r="D593" t="s">
        <v>1242</v>
      </c>
    </row>
    <row r="594" spans="1:4" x14ac:dyDescent="0.35">
      <c r="A594">
        <v>50737114</v>
      </c>
      <c r="B594" t="s">
        <v>665</v>
      </c>
      <c r="C594">
        <v>3299</v>
      </c>
      <c r="D594" t="s">
        <v>1243</v>
      </c>
    </row>
    <row r="595" spans="1:4" x14ac:dyDescent="0.35">
      <c r="A595">
        <v>50737126</v>
      </c>
      <c r="B595" t="s">
        <v>666</v>
      </c>
      <c r="C595">
        <v>3599</v>
      </c>
      <c r="D595" t="s">
        <v>1244</v>
      </c>
    </row>
    <row r="596" spans="1:4" x14ac:dyDescent="0.35">
      <c r="A596">
        <v>50737138</v>
      </c>
      <c r="B596" t="s">
        <v>667</v>
      </c>
      <c r="C596">
        <v>3599</v>
      </c>
      <c r="D596" t="s">
        <v>1245</v>
      </c>
    </row>
    <row r="597" spans="1:4" x14ac:dyDescent="0.35">
      <c r="A597">
        <v>50737140</v>
      </c>
      <c r="B597" t="s">
        <v>668</v>
      </c>
      <c r="C597">
        <v>3599</v>
      </c>
      <c r="D597" t="s">
        <v>1246</v>
      </c>
    </row>
    <row r="598" spans="1:4" x14ac:dyDescent="0.35">
      <c r="A598">
        <v>50737152</v>
      </c>
      <c r="B598" t="s">
        <v>669</v>
      </c>
      <c r="C598">
        <v>3799</v>
      </c>
      <c r="D598" t="s">
        <v>1247</v>
      </c>
    </row>
    <row r="599" spans="1:4" x14ac:dyDescent="0.35">
      <c r="A599">
        <v>50737164</v>
      </c>
      <c r="B599" t="s">
        <v>670</v>
      </c>
      <c r="C599">
        <v>3799</v>
      </c>
      <c r="D599" t="s">
        <v>1248</v>
      </c>
    </row>
    <row r="600" spans="1:4" x14ac:dyDescent="0.35">
      <c r="A600">
        <v>50737176</v>
      </c>
      <c r="B600" t="s">
        <v>671</v>
      </c>
      <c r="C600">
        <v>4499</v>
      </c>
      <c r="D600" t="s">
        <v>1249</v>
      </c>
    </row>
    <row r="601" spans="1:4" x14ac:dyDescent="0.35">
      <c r="A601">
        <v>50737188</v>
      </c>
      <c r="B601" t="s">
        <v>672</v>
      </c>
      <c r="C601">
        <v>4499</v>
      </c>
      <c r="D601" t="s">
        <v>1250</v>
      </c>
    </row>
    <row r="602" spans="1:4" x14ac:dyDescent="0.35">
      <c r="A602">
        <v>50737190</v>
      </c>
      <c r="B602" t="s">
        <v>673</v>
      </c>
      <c r="C602">
        <v>4499</v>
      </c>
      <c r="D602" t="s">
        <v>1251</v>
      </c>
    </row>
    <row r="603" spans="1:4" x14ac:dyDescent="0.35">
      <c r="A603">
        <v>50737203</v>
      </c>
      <c r="B603" t="s">
        <v>674</v>
      </c>
      <c r="C603">
        <v>4899</v>
      </c>
      <c r="D603" t="s">
        <v>1252</v>
      </c>
    </row>
    <row r="604" spans="1:4" x14ac:dyDescent="0.35">
      <c r="A604">
        <v>50737215</v>
      </c>
      <c r="B604" t="s">
        <v>675</v>
      </c>
      <c r="C604">
        <v>4899</v>
      </c>
      <c r="D604" t="s">
        <v>1253</v>
      </c>
    </row>
    <row r="605" spans="1:4" x14ac:dyDescent="0.35">
      <c r="A605">
        <v>50737227</v>
      </c>
      <c r="B605" t="s">
        <v>676</v>
      </c>
      <c r="C605">
        <v>4899</v>
      </c>
      <c r="D605" t="s">
        <v>1254</v>
      </c>
    </row>
    <row r="606" spans="1:4" x14ac:dyDescent="0.35">
      <c r="A606">
        <v>50737239</v>
      </c>
      <c r="B606" t="s">
        <v>677</v>
      </c>
      <c r="C606">
        <v>6199</v>
      </c>
      <c r="D606" t="s">
        <v>1255</v>
      </c>
    </row>
    <row r="607" spans="1:4" x14ac:dyDescent="0.35">
      <c r="A607">
        <v>50737253</v>
      </c>
      <c r="B607" t="s">
        <v>678</v>
      </c>
      <c r="C607">
        <v>6199</v>
      </c>
      <c r="D607" t="s">
        <v>1256</v>
      </c>
    </row>
    <row r="608" spans="1:4" x14ac:dyDescent="0.35">
      <c r="A608">
        <v>50737265</v>
      </c>
      <c r="B608" t="s">
        <v>679</v>
      </c>
      <c r="C608">
        <v>6199</v>
      </c>
      <c r="D608" t="s">
        <v>1257</v>
      </c>
    </row>
    <row r="609" spans="1:4" x14ac:dyDescent="0.35">
      <c r="A609">
        <v>50737289</v>
      </c>
      <c r="B609" t="s">
        <v>680</v>
      </c>
      <c r="C609">
        <v>2599</v>
      </c>
      <c r="D609" t="s">
        <v>1258</v>
      </c>
    </row>
    <row r="610" spans="1:4" x14ac:dyDescent="0.35">
      <c r="A610">
        <v>50737291</v>
      </c>
      <c r="B610" t="s">
        <v>681</v>
      </c>
      <c r="C610">
        <v>3199</v>
      </c>
      <c r="D610" t="s">
        <v>1259</v>
      </c>
    </row>
    <row r="611" spans="1:4" x14ac:dyDescent="0.35">
      <c r="A611">
        <v>50737316</v>
      </c>
      <c r="B611" t="s">
        <v>682</v>
      </c>
      <c r="C611">
        <v>3799</v>
      </c>
      <c r="D611" t="s">
        <v>1260</v>
      </c>
    </row>
    <row r="612" spans="1:4" x14ac:dyDescent="0.35">
      <c r="A612">
        <v>50737328</v>
      </c>
      <c r="B612" t="s">
        <v>683</v>
      </c>
      <c r="C612">
        <v>4099</v>
      </c>
      <c r="D612" t="s">
        <v>1261</v>
      </c>
    </row>
    <row r="613" spans="1:4" x14ac:dyDescent="0.35">
      <c r="A613">
        <v>50737330</v>
      </c>
      <c r="B613" t="s">
        <v>684</v>
      </c>
      <c r="C613">
        <v>4399</v>
      </c>
      <c r="D613" t="s">
        <v>1262</v>
      </c>
    </row>
    <row r="614" spans="1:4" x14ac:dyDescent="0.35">
      <c r="A614">
        <v>50737342</v>
      </c>
      <c r="B614" t="s">
        <v>685</v>
      </c>
      <c r="C614">
        <v>4399</v>
      </c>
      <c r="D614" t="s">
        <v>1263</v>
      </c>
    </row>
    <row r="615" spans="1:4" x14ac:dyDescent="0.35">
      <c r="A615">
        <v>50737354</v>
      </c>
      <c r="B615" t="s">
        <v>686</v>
      </c>
      <c r="C615">
        <v>4899</v>
      </c>
      <c r="D615" t="s">
        <v>1264</v>
      </c>
    </row>
    <row r="616" spans="1:4" x14ac:dyDescent="0.35">
      <c r="A616">
        <v>50737392</v>
      </c>
      <c r="B616" t="s">
        <v>687</v>
      </c>
      <c r="C616">
        <v>6199</v>
      </c>
      <c r="D616" t="s">
        <v>1265</v>
      </c>
    </row>
    <row r="617" spans="1:4" x14ac:dyDescent="0.35">
      <c r="A617">
        <v>50747999</v>
      </c>
      <c r="B617" t="s">
        <v>688</v>
      </c>
      <c r="C617">
        <v>2599</v>
      </c>
      <c r="D617" t="s">
        <v>1266</v>
      </c>
    </row>
    <row r="618" spans="1:4" x14ac:dyDescent="0.35">
      <c r="A618">
        <v>50748004</v>
      </c>
      <c r="B618" t="s">
        <v>689</v>
      </c>
      <c r="C618">
        <v>2399</v>
      </c>
      <c r="D618" t="s">
        <v>1267</v>
      </c>
    </row>
    <row r="619" spans="1:4" x14ac:dyDescent="0.35">
      <c r="A619">
        <v>50748016</v>
      </c>
      <c r="B619" t="s">
        <v>690</v>
      </c>
      <c r="C619">
        <v>2599</v>
      </c>
      <c r="D619" t="s">
        <v>1268</v>
      </c>
    </row>
    <row r="620" spans="1:4" x14ac:dyDescent="0.35">
      <c r="A620">
        <v>50748028</v>
      </c>
      <c r="B620" t="s">
        <v>691</v>
      </c>
      <c r="C620">
        <v>2999</v>
      </c>
      <c r="D620" t="s">
        <v>1269</v>
      </c>
    </row>
    <row r="621" spans="1:4" x14ac:dyDescent="0.35">
      <c r="A621">
        <v>50748030</v>
      </c>
      <c r="B621" t="s">
        <v>692</v>
      </c>
      <c r="C621">
        <v>2999</v>
      </c>
      <c r="D621" t="s">
        <v>1270</v>
      </c>
    </row>
    <row r="622" spans="1:4" x14ac:dyDescent="0.35">
      <c r="A622">
        <v>50748042</v>
      </c>
      <c r="B622" t="s">
        <v>693</v>
      </c>
      <c r="C622">
        <v>2999</v>
      </c>
      <c r="D622" t="s">
        <v>1271</v>
      </c>
    </row>
    <row r="623" spans="1:4" x14ac:dyDescent="0.35">
      <c r="A623">
        <v>50748054</v>
      </c>
      <c r="B623" t="s">
        <v>694</v>
      </c>
      <c r="C623">
        <v>3199</v>
      </c>
      <c r="D623" t="s">
        <v>1272</v>
      </c>
    </row>
    <row r="624" spans="1:4" x14ac:dyDescent="0.35">
      <c r="A624">
        <v>50748066</v>
      </c>
      <c r="B624" t="s">
        <v>695</v>
      </c>
      <c r="C624">
        <v>3199</v>
      </c>
      <c r="D624" t="s">
        <v>1273</v>
      </c>
    </row>
    <row r="625" spans="1:4" x14ac:dyDescent="0.35">
      <c r="A625">
        <v>50748078</v>
      </c>
      <c r="B625" t="s">
        <v>696</v>
      </c>
      <c r="C625">
        <v>3799</v>
      </c>
      <c r="D625" t="s">
        <v>1274</v>
      </c>
    </row>
    <row r="626" spans="1:4" x14ac:dyDescent="0.35">
      <c r="A626">
        <v>50748092</v>
      </c>
      <c r="B626" t="s">
        <v>697</v>
      </c>
      <c r="C626">
        <v>3799</v>
      </c>
      <c r="D626" t="s">
        <v>1275</v>
      </c>
    </row>
    <row r="627" spans="1:4" x14ac:dyDescent="0.35">
      <c r="A627">
        <v>50748105</v>
      </c>
      <c r="B627" t="s">
        <v>698</v>
      </c>
      <c r="C627">
        <v>4099</v>
      </c>
      <c r="D627" t="s">
        <v>1276</v>
      </c>
    </row>
    <row r="628" spans="1:4" x14ac:dyDescent="0.35">
      <c r="A628">
        <v>50748117</v>
      </c>
      <c r="B628" t="s">
        <v>699</v>
      </c>
      <c r="C628">
        <v>4099</v>
      </c>
      <c r="D628" t="s">
        <v>1277</v>
      </c>
    </row>
    <row r="629" spans="1:4" x14ac:dyDescent="0.35">
      <c r="A629">
        <v>50748129</v>
      </c>
      <c r="B629" t="s">
        <v>700</v>
      </c>
      <c r="C629">
        <v>4399</v>
      </c>
      <c r="D629" t="s">
        <v>1278</v>
      </c>
    </row>
    <row r="630" spans="1:4" x14ac:dyDescent="0.35">
      <c r="A630">
        <v>50748155</v>
      </c>
      <c r="B630" t="s">
        <v>701</v>
      </c>
      <c r="C630">
        <v>4199</v>
      </c>
      <c r="D630" t="s">
        <v>1279</v>
      </c>
    </row>
    <row r="631" spans="1:4" x14ac:dyDescent="0.35">
      <c r="A631">
        <v>50748193</v>
      </c>
      <c r="B631" t="s">
        <v>702</v>
      </c>
      <c r="C631">
        <v>5399</v>
      </c>
      <c r="D631" t="s">
        <v>1280</v>
      </c>
    </row>
    <row r="632" spans="1:4" x14ac:dyDescent="0.35">
      <c r="A632">
        <v>50748218</v>
      </c>
      <c r="B632" t="s">
        <v>703</v>
      </c>
      <c r="C632">
        <v>6099</v>
      </c>
      <c r="D632" t="s">
        <v>1281</v>
      </c>
    </row>
    <row r="633" spans="1:4" x14ac:dyDescent="0.35">
      <c r="A633">
        <v>50748232</v>
      </c>
      <c r="B633" t="s">
        <v>704</v>
      </c>
      <c r="C633">
        <v>6099</v>
      </c>
      <c r="D633" t="s">
        <v>1282</v>
      </c>
    </row>
    <row r="634" spans="1:4" x14ac:dyDescent="0.35">
      <c r="A634">
        <v>50748256</v>
      </c>
      <c r="B634" t="s">
        <v>705</v>
      </c>
      <c r="C634">
        <v>7099</v>
      </c>
      <c r="D634" t="s">
        <v>1326</v>
      </c>
    </row>
    <row r="635" spans="1:4" x14ac:dyDescent="0.35">
      <c r="A635">
        <v>50748270</v>
      </c>
      <c r="B635" t="s">
        <v>706</v>
      </c>
      <c r="C635">
        <v>4799</v>
      </c>
      <c r="D635" t="s">
        <v>1283</v>
      </c>
    </row>
    <row r="636" spans="1:4" x14ac:dyDescent="0.35">
      <c r="A636">
        <v>50748294</v>
      </c>
      <c r="B636" t="s">
        <v>707</v>
      </c>
      <c r="C636">
        <v>4199</v>
      </c>
      <c r="D636" t="s">
        <v>1284</v>
      </c>
    </row>
    <row r="637" spans="1:4" x14ac:dyDescent="0.35">
      <c r="A637">
        <v>50770102</v>
      </c>
      <c r="B637" t="s">
        <v>708</v>
      </c>
      <c r="C637">
        <v>1449</v>
      </c>
      <c r="D637" t="s">
        <v>1285</v>
      </c>
    </row>
    <row r="638" spans="1:4" x14ac:dyDescent="0.35">
      <c r="A638">
        <v>50770114</v>
      </c>
      <c r="B638" t="s">
        <v>709</v>
      </c>
      <c r="C638">
        <v>2538</v>
      </c>
      <c r="D638" t="s">
        <v>1286</v>
      </c>
    </row>
    <row r="639" spans="1:4" x14ac:dyDescent="0.35">
      <c r="A639">
        <v>50770126</v>
      </c>
      <c r="B639" t="s">
        <v>710</v>
      </c>
      <c r="C639">
        <v>3599</v>
      </c>
      <c r="D639" t="s">
        <v>1287</v>
      </c>
    </row>
    <row r="640" spans="1:4" x14ac:dyDescent="0.35">
      <c r="A640">
        <v>50800486</v>
      </c>
      <c r="B640" t="s">
        <v>711</v>
      </c>
      <c r="C640">
        <v>649</v>
      </c>
      <c r="D640" t="s">
        <v>1322</v>
      </c>
    </row>
    <row r="641" spans="1:4" x14ac:dyDescent="0.35">
      <c r="A641">
        <v>50800513</v>
      </c>
      <c r="B641" t="s">
        <v>712</v>
      </c>
      <c r="C641">
        <v>1399</v>
      </c>
      <c r="D641" t="s">
        <v>1323</v>
      </c>
    </row>
    <row r="642" spans="1:4" x14ac:dyDescent="0.35">
      <c r="A642">
        <v>50807985</v>
      </c>
      <c r="B642" t="s">
        <v>713</v>
      </c>
      <c r="C642">
        <v>255</v>
      </c>
      <c r="D642" t="s">
        <v>1318</v>
      </c>
    </row>
    <row r="643" spans="1:4" x14ac:dyDescent="0.35">
      <c r="A643">
        <v>50808165</v>
      </c>
      <c r="B643" t="s">
        <v>715</v>
      </c>
      <c r="C643">
        <v>1599</v>
      </c>
      <c r="D643" t="s">
        <v>1324</v>
      </c>
    </row>
    <row r="644" spans="1:4" x14ac:dyDescent="0.35">
      <c r="A644">
        <v>50808189</v>
      </c>
      <c r="B644" t="s">
        <v>716</v>
      </c>
      <c r="C644">
        <v>2099</v>
      </c>
      <c r="D644" t="s">
        <v>1325</v>
      </c>
    </row>
    <row r="645" spans="1:4" x14ac:dyDescent="0.35">
      <c r="A645">
        <v>50808191</v>
      </c>
      <c r="B645" t="s">
        <v>717</v>
      </c>
      <c r="C645">
        <v>2599</v>
      </c>
      <c r="D645" t="s">
        <v>1327</v>
      </c>
    </row>
    <row r="646" spans="1:4" x14ac:dyDescent="0.35">
      <c r="A646">
        <v>50808228</v>
      </c>
      <c r="B646" t="s">
        <v>718</v>
      </c>
      <c r="C646">
        <v>3399</v>
      </c>
      <c r="D646" t="s">
        <v>1328</v>
      </c>
    </row>
    <row r="647" spans="1:4" x14ac:dyDescent="0.35">
      <c r="A647">
        <v>50808836</v>
      </c>
      <c r="B647" t="s">
        <v>719</v>
      </c>
      <c r="C647">
        <v>499</v>
      </c>
      <c r="D647" t="s">
        <v>1329</v>
      </c>
    </row>
    <row r="648" spans="1:4" x14ac:dyDescent="0.35">
      <c r="A648">
        <v>50808898</v>
      </c>
      <c r="B648" t="s">
        <v>721</v>
      </c>
      <c r="C648">
        <v>749</v>
      </c>
      <c r="D648" t="s">
        <v>1330</v>
      </c>
    </row>
    <row r="649" spans="1:4" x14ac:dyDescent="0.35">
      <c r="A649">
        <v>50808951</v>
      </c>
      <c r="B649" t="s">
        <v>722</v>
      </c>
      <c r="C649">
        <v>1499</v>
      </c>
      <c r="D649" t="s">
        <v>1331</v>
      </c>
    </row>
    <row r="650" spans="1:4" x14ac:dyDescent="0.35">
      <c r="A650">
        <v>50811085</v>
      </c>
      <c r="B650" t="s">
        <v>714</v>
      </c>
      <c r="C650">
        <v>200</v>
      </c>
      <c r="D650" t="s">
        <v>1318</v>
      </c>
    </row>
    <row r="651" spans="1:4" x14ac:dyDescent="0.35">
      <c r="A651">
        <v>50811528</v>
      </c>
      <c r="B651" t="s">
        <v>714</v>
      </c>
      <c r="C651">
        <v>200</v>
      </c>
      <c r="D651" t="s">
        <v>1318</v>
      </c>
    </row>
    <row r="652" spans="1:4" x14ac:dyDescent="0.35">
      <c r="A652">
        <v>50814651</v>
      </c>
      <c r="B652" t="s">
        <v>308</v>
      </c>
      <c r="D652" t="s">
        <v>1318</v>
      </c>
    </row>
    <row r="653" spans="1:4" x14ac:dyDescent="0.35">
      <c r="A653">
        <v>50814764</v>
      </c>
      <c r="B653" t="s">
        <v>713</v>
      </c>
      <c r="C653">
        <v>200</v>
      </c>
      <c r="D653" t="s">
        <v>1318</v>
      </c>
    </row>
    <row r="654" spans="1:4" x14ac:dyDescent="0.35">
      <c r="A654">
        <v>50815603</v>
      </c>
      <c r="B654" t="s">
        <v>713</v>
      </c>
      <c r="C654">
        <v>200</v>
      </c>
      <c r="D654" t="s">
        <v>1318</v>
      </c>
    </row>
    <row r="655" spans="1:4" x14ac:dyDescent="0.35">
      <c r="A655">
        <v>50815653</v>
      </c>
      <c r="B655" t="s">
        <v>308</v>
      </c>
      <c r="D655" t="s">
        <v>1318</v>
      </c>
    </row>
    <row r="656" spans="1:4" x14ac:dyDescent="0.35">
      <c r="A656">
        <v>50816186</v>
      </c>
      <c r="B656" t="s">
        <v>713</v>
      </c>
      <c r="C656">
        <v>250</v>
      </c>
      <c r="D656" t="s">
        <v>1318</v>
      </c>
    </row>
    <row r="657" spans="1:4" x14ac:dyDescent="0.35">
      <c r="A657">
        <v>50818609</v>
      </c>
      <c r="B657" t="s">
        <v>723</v>
      </c>
      <c r="C657">
        <v>899</v>
      </c>
      <c r="D657" t="s">
        <v>1319</v>
      </c>
    </row>
    <row r="658" spans="1:4" x14ac:dyDescent="0.35">
      <c r="A658">
        <v>50819954</v>
      </c>
      <c r="B658" t="s">
        <v>308</v>
      </c>
      <c r="D658" t="s">
        <v>1318</v>
      </c>
    </row>
    <row r="659" spans="1:4" x14ac:dyDescent="0.35">
      <c r="A659">
        <v>50820933</v>
      </c>
      <c r="B659" t="s">
        <v>713</v>
      </c>
      <c r="C659">
        <v>200</v>
      </c>
      <c r="D659" t="s">
        <v>1318</v>
      </c>
    </row>
    <row r="660" spans="1:4" x14ac:dyDescent="0.35">
      <c r="A660">
        <v>50822266</v>
      </c>
      <c r="B660" t="s">
        <v>713</v>
      </c>
      <c r="C660">
        <v>200</v>
      </c>
      <c r="D660" t="s">
        <v>1318</v>
      </c>
    </row>
    <row r="661" spans="1:4" x14ac:dyDescent="0.35">
      <c r="A661">
        <v>50822608</v>
      </c>
      <c r="B661" t="s">
        <v>724</v>
      </c>
      <c r="C661">
        <v>79.989999999999995</v>
      </c>
      <c r="D661" t="s">
        <v>1320</v>
      </c>
    </row>
    <row r="662" spans="1:4" x14ac:dyDescent="0.35">
      <c r="A662">
        <v>50822622</v>
      </c>
      <c r="B662" t="s">
        <v>725</v>
      </c>
      <c r="C662">
        <v>200</v>
      </c>
      <c r="D662" t="s">
        <v>1318</v>
      </c>
    </row>
    <row r="663" spans="1:4" x14ac:dyDescent="0.35">
      <c r="A663">
        <v>50829272</v>
      </c>
      <c r="B663" t="s">
        <v>713</v>
      </c>
      <c r="C663">
        <v>200</v>
      </c>
      <c r="D663" t="s">
        <v>1318</v>
      </c>
    </row>
    <row r="664" spans="1:4" x14ac:dyDescent="0.35">
      <c r="A664">
        <v>50837801</v>
      </c>
      <c r="B664" t="s">
        <v>726</v>
      </c>
      <c r="C664">
        <v>250</v>
      </c>
      <c r="D664" t="s">
        <v>1318</v>
      </c>
    </row>
    <row r="665" spans="1:4" x14ac:dyDescent="0.35">
      <c r="A665">
        <v>50848501</v>
      </c>
      <c r="B665" t="s">
        <v>727</v>
      </c>
      <c r="C665">
        <v>240</v>
      </c>
      <c r="D665" t="s">
        <v>1318</v>
      </c>
    </row>
    <row r="666" spans="1:4" x14ac:dyDescent="0.35">
      <c r="A666">
        <v>50883478</v>
      </c>
      <c r="B666" t="s">
        <v>728</v>
      </c>
      <c r="C666">
        <v>200</v>
      </c>
      <c r="D666" t="s">
        <v>1318</v>
      </c>
    </row>
    <row r="667" spans="1:4" x14ac:dyDescent="0.35">
      <c r="A667">
        <v>50899041</v>
      </c>
      <c r="B667" t="s">
        <v>308</v>
      </c>
      <c r="D667" t="s">
        <v>1318</v>
      </c>
    </row>
    <row r="668" spans="1:4" x14ac:dyDescent="0.35">
      <c r="A668">
        <v>50899142</v>
      </c>
      <c r="B668" t="s">
        <v>308</v>
      </c>
      <c r="D668" t="s">
        <v>1318</v>
      </c>
    </row>
    <row r="669" spans="1:4" x14ac:dyDescent="0.35">
      <c r="A669">
        <v>50899344</v>
      </c>
      <c r="B669" t="s">
        <v>308</v>
      </c>
      <c r="D669" t="s">
        <v>1318</v>
      </c>
    </row>
    <row r="670" spans="1:4" x14ac:dyDescent="0.35">
      <c r="A670">
        <v>50899356</v>
      </c>
      <c r="B670" t="s">
        <v>308</v>
      </c>
      <c r="D670" t="s">
        <v>1318</v>
      </c>
    </row>
    <row r="671" spans="1:4" x14ac:dyDescent="0.35">
      <c r="A671">
        <v>50899750</v>
      </c>
      <c r="B671" t="s">
        <v>729</v>
      </c>
      <c r="C671">
        <v>200</v>
      </c>
      <c r="D671" t="s">
        <v>1321</v>
      </c>
    </row>
    <row r="672" spans="1:4" x14ac:dyDescent="0.35">
      <c r="A672">
        <v>50905553</v>
      </c>
      <c r="B672" t="s">
        <v>730</v>
      </c>
      <c r="C672">
        <v>250</v>
      </c>
      <c r="D672" t="s">
        <v>1318</v>
      </c>
    </row>
    <row r="673" spans="1:4" x14ac:dyDescent="0.35">
      <c r="A673">
        <v>50907987</v>
      </c>
      <c r="B673" t="s">
        <v>731</v>
      </c>
      <c r="C673">
        <v>380</v>
      </c>
      <c r="D673" t="s">
        <v>1318</v>
      </c>
    </row>
    <row r="674" spans="1:4" x14ac:dyDescent="0.35">
      <c r="A674">
        <v>50911087</v>
      </c>
      <c r="B674" t="s">
        <v>731</v>
      </c>
      <c r="C674">
        <v>250</v>
      </c>
      <c r="D674" t="s">
        <v>1318</v>
      </c>
    </row>
    <row r="675" spans="1:4" x14ac:dyDescent="0.35">
      <c r="A675">
        <v>50911520</v>
      </c>
      <c r="B675" t="s">
        <v>731</v>
      </c>
      <c r="C675">
        <v>250</v>
      </c>
      <c r="D675" t="s">
        <v>1318</v>
      </c>
    </row>
    <row r="676" spans="1:4" x14ac:dyDescent="0.35">
      <c r="A676">
        <v>50914766</v>
      </c>
      <c r="B676" t="s">
        <v>731</v>
      </c>
      <c r="C676">
        <v>250</v>
      </c>
      <c r="D676" t="s">
        <v>1318</v>
      </c>
    </row>
    <row r="677" spans="1:4" x14ac:dyDescent="0.35">
      <c r="A677">
        <v>50915605</v>
      </c>
      <c r="B677" t="s">
        <v>731</v>
      </c>
      <c r="C677">
        <v>250</v>
      </c>
      <c r="D677" t="s">
        <v>1318</v>
      </c>
    </row>
    <row r="678" spans="1:4" x14ac:dyDescent="0.35">
      <c r="A678">
        <v>50916188</v>
      </c>
      <c r="B678" t="s">
        <v>731</v>
      </c>
      <c r="C678">
        <v>300</v>
      </c>
      <c r="D678" t="s">
        <v>1318</v>
      </c>
    </row>
    <row r="679" spans="1:4" x14ac:dyDescent="0.35">
      <c r="A679">
        <v>50920935</v>
      </c>
      <c r="B679" t="s">
        <v>731</v>
      </c>
      <c r="C679">
        <v>250</v>
      </c>
      <c r="D679" t="s">
        <v>1318</v>
      </c>
    </row>
    <row r="680" spans="1:4" x14ac:dyDescent="0.35">
      <c r="A680">
        <v>50922268</v>
      </c>
      <c r="B680" t="s">
        <v>731</v>
      </c>
      <c r="C680">
        <v>250</v>
      </c>
      <c r="D680" t="s">
        <v>1318</v>
      </c>
    </row>
    <row r="681" spans="1:4" x14ac:dyDescent="0.35">
      <c r="A681">
        <v>50929274</v>
      </c>
      <c r="B681" t="s">
        <v>731</v>
      </c>
      <c r="C681">
        <v>250</v>
      </c>
      <c r="D681" t="s">
        <v>1318</v>
      </c>
    </row>
    <row r="682" spans="1:4" x14ac:dyDescent="0.35">
      <c r="A682">
        <v>50937803</v>
      </c>
      <c r="B682" t="s">
        <v>732</v>
      </c>
      <c r="C682">
        <v>300</v>
      </c>
      <c r="D682" t="s">
        <v>1318</v>
      </c>
    </row>
    <row r="683" spans="1:4" x14ac:dyDescent="0.35">
      <c r="A683">
        <v>50948503</v>
      </c>
      <c r="B683" t="s">
        <v>733</v>
      </c>
      <c r="C683">
        <v>315</v>
      </c>
      <c r="D683" t="s">
        <v>1318</v>
      </c>
    </row>
    <row r="684" spans="1:4" x14ac:dyDescent="0.35">
      <c r="A684">
        <v>50952639</v>
      </c>
      <c r="B684" t="s">
        <v>731</v>
      </c>
      <c r="C684">
        <v>250</v>
      </c>
      <c r="D684" t="s">
        <v>1318</v>
      </c>
    </row>
    <row r="685" spans="1:4" x14ac:dyDescent="0.35">
      <c r="A685">
        <v>50983470</v>
      </c>
      <c r="B685" t="s">
        <v>734</v>
      </c>
      <c r="C685">
        <v>250</v>
      </c>
      <c r="D685" t="s">
        <v>1318</v>
      </c>
    </row>
    <row r="686" spans="1:4" x14ac:dyDescent="0.35">
      <c r="A686">
        <v>51000481</v>
      </c>
      <c r="B686" t="s">
        <v>735</v>
      </c>
      <c r="C686">
        <v>1199</v>
      </c>
      <c r="D686" t="s">
        <v>1322</v>
      </c>
    </row>
    <row r="687" spans="1:4" x14ac:dyDescent="0.35">
      <c r="A687">
        <v>51000518</v>
      </c>
      <c r="B687" t="s">
        <v>736</v>
      </c>
      <c r="C687">
        <v>1899</v>
      </c>
      <c r="D687" t="s">
        <v>1323</v>
      </c>
    </row>
    <row r="688" spans="1:4" x14ac:dyDescent="0.35">
      <c r="A688">
        <v>51007980</v>
      </c>
      <c r="B688" t="s">
        <v>737</v>
      </c>
      <c r="C688">
        <v>255</v>
      </c>
      <c r="D688" t="s">
        <v>1318</v>
      </c>
    </row>
    <row r="689" spans="1:4" x14ac:dyDescent="0.35">
      <c r="A689">
        <v>51008160</v>
      </c>
      <c r="B689" t="s">
        <v>738</v>
      </c>
      <c r="C689">
        <v>2399</v>
      </c>
      <c r="D689" t="s">
        <v>1324</v>
      </c>
    </row>
    <row r="690" spans="1:4" x14ac:dyDescent="0.35">
      <c r="A690">
        <v>51008184</v>
      </c>
      <c r="B690" t="s">
        <v>739</v>
      </c>
      <c r="C690">
        <v>2899</v>
      </c>
      <c r="D690" t="s">
        <v>1325</v>
      </c>
    </row>
    <row r="691" spans="1:4" x14ac:dyDescent="0.35">
      <c r="A691">
        <v>51008196</v>
      </c>
      <c r="B691" t="s">
        <v>740</v>
      </c>
      <c r="C691">
        <v>3399</v>
      </c>
      <c r="D691" t="s">
        <v>1327</v>
      </c>
    </row>
    <row r="692" spans="1:4" x14ac:dyDescent="0.35">
      <c r="A692">
        <v>51008831</v>
      </c>
      <c r="B692" t="s">
        <v>741</v>
      </c>
      <c r="C692">
        <v>799</v>
      </c>
      <c r="D692" t="s">
        <v>1329</v>
      </c>
    </row>
    <row r="693" spans="1:4" x14ac:dyDescent="0.35">
      <c r="A693">
        <v>51008893</v>
      </c>
      <c r="B693" t="s">
        <v>742</v>
      </c>
      <c r="C693">
        <v>1299</v>
      </c>
      <c r="D693" t="s">
        <v>1330</v>
      </c>
    </row>
    <row r="694" spans="1:4" x14ac:dyDescent="0.35">
      <c r="A694">
        <v>51008956</v>
      </c>
      <c r="B694" t="s">
        <v>743</v>
      </c>
      <c r="C694">
        <v>2099</v>
      </c>
      <c r="D694" t="s">
        <v>1331</v>
      </c>
    </row>
    <row r="695" spans="1:4" x14ac:dyDescent="0.35">
      <c r="A695">
        <v>51010216</v>
      </c>
      <c r="B695" t="s">
        <v>744</v>
      </c>
      <c r="C695">
        <v>59.99</v>
      </c>
      <c r="D695" t="s">
        <v>1333</v>
      </c>
    </row>
    <row r="696" spans="1:4" x14ac:dyDescent="0.35">
      <c r="A696">
        <v>51010228</v>
      </c>
      <c r="B696" t="s">
        <v>746</v>
      </c>
      <c r="C696">
        <v>49.99</v>
      </c>
      <c r="D696" t="s">
        <v>1333</v>
      </c>
    </row>
    <row r="697" spans="1:4" x14ac:dyDescent="0.35">
      <c r="A697">
        <v>51010230</v>
      </c>
      <c r="B697" t="s">
        <v>747</v>
      </c>
      <c r="C697">
        <v>69.989999999999995</v>
      </c>
      <c r="D697" t="s">
        <v>1333</v>
      </c>
    </row>
    <row r="698" spans="1:4" x14ac:dyDescent="0.35">
      <c r="A698">
        <v>51010242</v>
      </c>
      <c r="B698" t="s">
        <v>748</v>
      </c>
      <c r="C698">
        <v>79.989999999999995</v>
      </c>
      <c r="D698" t="s">
        <v>1333</v>
      </c>
    </row>
    <row r="699" spans="1:4" x14ac:dyDescent="0.35">
      <c r="A699">
        <v>51010254</v>
      </c>
      <c r="B699" t="s">
        <v>749</v>
      </c>
      <c r="C699">
        <v>89.99</v>
      </c>
      <c r="D699" t="s">
        <v>1333</v>
      </c>
    </row>
    <row r="700" spans="1:4" x14ac:dyDescent="0.35">
      <c r="A700">
        <v>51010266</v>
      </c>
      <c r="B700" t="s">
        <v>750</v>
      </c>
      <c r="C700">
        <v>89.99</v>
      </c>
      <c r="D700" t="s">
        <v>1333</v>
      </c>
    </row>
    <row r="701" spans="1:4" x14ac:dyDescent="0.35">
      <c r="A701">
        <v>51010393</v>
      </c>
      <c r="B701" t="s">
        <v>752</v>
      </c>
      <c r="C701">
        <v>19.989999999999998</v>
      </c>
      <c r="D701" t="s">
        <v>752</v>
      </c>
    </row>
    <row r="702" spans="1:4" x14ac:dyDescent="0.35">
      <c r="A702">
        <v>51010406</v>
      </c>
      <c r="B702" t="s">
        <v>754</v>
      </c>
      <c r="C702">
        <v>29.99</v>
      </c>
      <c r="D702" t="s">
        <v>754</v>
      </c>
    </row>
    <row r="703" spans="1:4" x14ac:dyDescent="0.35">
      <c r="A703">
        <v>51010418</v>
      </c>
      <c r="B703" t="s">
        <v>756</v>
      </c>
      <c r="C703">
        <v>39.99</v>
      </c>
      <c r="D703" t="s">
        <v>756</v>
      </c>
    </row>
    <row r="704" spans="1:4" x14ac:dyDescent="0.35">
      <c r="A704">
        <v>51010507</v>
      </c>
      <c r="B704" t="s">
        <v>758</v>
      </c>
      <c r="C704">
        <v>109.99</v>
      </c>
      <c r="D704" t="s">
        <v>1334</v>
      </c>
    </row>
    <row r="705" spans="1:4" x14ac:dyDescent="0.35">
      <c r="A705">
        <v>51010519</v>
      </c>
      <c r="B705" t="s">
        <v>760</v>
      </c>
      <c r="C705">
        <v>119.99</v>
      </c>
      <c r="D705" t="s">
        <v>1334</v>
      </c>
    </row>
    <row r="706" spans="1:4" x14ac:dyDescent="0.35">
      <c r="A706">
        <v>51010521</v>
      </c>
      <c r="B706" t="s">
        <v>761</v>
      </c>
      <c r="C706">
        <v>119.99</v>
      </c>
      <c r="D706" t="s">
        <v>1334</v>
      </c>
    </row>
    <row r="707" spans="1:4" x14ac:dyDescent="0.35">
      <c r="A707">
        <v>51010533</v>
      </c>
      <c r="B707" t="s">
        <v>762</v>
      </c>
      <c r="C707">
        <v>159.99</v>
      </c>
      <c r="D707" t="s">
        <v>1334</v>
      </c>
    </row>
    <row r="708" spans="1:4" x14ac:dyDescent="0.35">
      <c r="A708">
        <v>51010545</v>
      </c>
      <c r="B708" t="s">
        <v>764</v>
      </c>
      <c r="C708">
        <v>189.99</v>
      </c>
      <c r="D708" t="s">
        <v>1334</v>
      </c>
    </row>
    <row r="709" spans="1:4" x14ac:dyDescent="0.35">
      <c r="A709">
        <v>51010557</v>
      </c>
      <c r="B709" t="s">
        <v>765</v>
      </c>
      <c r="C709">
        <v>189.99</v>
      </c>
      <c r="D709" t="s">
        <v>1334</v>
      </c>
    </row>
    <row r="710" spans="1:4" x14ac:dyDescent="0.35">
      <c r="A710">
        <v>51010569</v>
      </c>
      <c r="B710" t="s">
        <v>766</v>
      </c>
      <c r="C710">
        <v>209.99</v>
      </c>
      <c r="D710" t="s">
        <v>1334</v>
      </c>
    </row>
    <row r="711" spans="1:4" x14ac:dyDescent="0.35">
      <c r="A711">
        <v>51010571</v>
      </c>
      <c r="B711" t="s">
        <v>767</v>
      </c>
      <c r="C711">
        <v>209.99</v>
      </c>
      <c r="D711" t="s">
        <v>1334</v>
      </c>
    </row>
    <row r="712" spans="1:4" x14ac:dyDescent="0.35">
      <c r="A712">
        <v>51010583</v>
      </c>
      <c r="B712" t="s">
        <v>770</v>
      </c>
      <c r="C712">
        <v>179.99</v>
      </c>
      <c r="D712" t="s">
        <v>1334</v>
      </c>
    </row>
    <row r="713" spans="1:4" x14ac:dyDescent="0.35">
      <c r="A713">
        <v>51010595</v>
      </c>
      <c r="B713" t="s">
        <v>773</v>
      </c>
      <c r="C713">
        <v>209.99</v>
      </c>
      <c r="D713" t="s">
        <v>1334</v>
      </c>
    </row>
    <row r="714" spans="1:4" x14ac:dyDescent="0.35">
      <c r="A714">
        <v>51010608</v>
      </c>
      <c r="B714" t="s">
        <v>775</v>
      </c>
      <c r="C714">
        <v>249.99</v>
      </c>
      <c r="D714" t="s">
        <v>1335</v>
      </c>
    </row>
    <row r="715" spans="1:4" x14ac:dyDescent="0.35">
      <c r="A715">
        <v>51010610</v>
      </c>
      <c r="B715" t="s">
        <v>777</v>
      </c>
      <c r="C715">
        <v>259.99</v>
      </c>
      <c r="D715" t="s">
        <v>1335</v>
      </c>
    </row>
    <row r="716" spans="1:4" x14ac:dyDescent="0.35">
      <c r="A716">
        <v>51010622</v>
      </c>
      <c r="B716" t="s">
        <v>779</v>
      </c>
      <c r="C716">
        <v>259.99</v>
      </c>
      <c r="D716" t="s">
        <v>1335</v>
      </c>
    </row>
    <row r="717" spans="1:4" x14ac:dyDescent="0.35">
      <c r="A717">
        <v>51010634</v>
      </c>
      <c r="B717" t="s">
        <v>780</v>
      </c>
      <c r="C717">
        <v>279.99</v>
      </c>
      <c r="D717" t="s">
        <v>1335</v>
      </c>
    </row>
    <row r="718" spans="1:4" x14ac:dyDescent="0.35">
      <c r="A718">
        <v>51010646</v>
      </c>
      <c r="B718" t="s">
        <v>781</v>
      </c>
      <c r="C718">
        <v>299.99</v>
      </c>
      <c r="D718" t="s">
        <v>1335</v>
      </c>
    </row>
    <row r="719" spans="1:4" x14ac:dyDescent="0.35">
      <c r="A719">
        <v>51010658</v>
      </c>
      <c r="B719" t="s">
        <v>782</v>
      </c>
      <c r="C719">
        <v>299.99</v>
      </c>
      <c r="D719" t="s">
        <v>1335</v>
      </c>
    </row>
    <row r="720" spans="1:4" x14ac:dyDescent="0.35">
      <c r="A720">
        <v>51010660</v>
      </c>
      <c r="B720" t="s">
        <v>783</v>
      </c>
      <c r="C720">
        <v>359.99</v>
      </c>
      <c r="D720" t="s">
        <v>1335</v>
      </c>
    </row>
    <row r="721" spans="1:4" x14ac:dyDescent="0.35">
      <c r="A721">
        <v>51010672</v>
      </c>
      <c r="B721" t="s">
        <v>785</v>
      </c>
      <c r="C721">
        <v>359.99</v>
      </c>
      <c r="D721" t="s">
        <v>1335</v>
      </c>
    </row>
    <row r="722" spans="1:4" x14ac:dyDescent="0.35">
      <c r="A722">
        <v>51011004</v>
      </c>
      <c r="B722" t="s">
        <v>787</v>
      </c>
      <c r="C722">
        <v>29.99</v>
      </c>
      <c r="D722" t="s">
        <v>1336</v>
      </c>
    </row>
    <row r="723" spans="1:4" x14ac:dyDescent="0.35">
      <c r="A723">
        <v>51011028</v>
      </c>
      <c r="B723" t="s">
        <v>789</v>
      </c>
      <c r="C723">
        <v>37.99</v>
      </c>
      <c r="D723" t="s">
        <v>1336</v>
      </c>
    </row>
    <row r="724" spans="1:4" x14ac:dyDescent="0.35">
      <c r="A724">
        <v>51011030</v>
      </c>
      <c r="B724" t="s">
        <v>790</v>
      </c>
      <c r="C724">
        <v>39.99</v>
      </c>
      <c r="D724" t="s">
        <v>1336</v>
      </c>
    </row>
    <row r="725" spans="1:4" x14ac:dyDescent="0.35">
      <c r="A725">
        <v>51011042</v>
      </c>
      <c r="B725" t="s">
        <v>791</v>
      </c>
      <c r="C725">
        <v>39.99</v>
      </c>
      <c r="D725" t="s">
        <v>1336</v>
      </c>
    </row>
    <row r="726" spans="1:4" x14ac:dyDescent="0.35">
      <c r="A726">
        <v>51011080</v>
      </c>
      <c r="B726" t="s">
        <v>737</v>
      </c>
      <c r="C726">
        <v>200</v>
      </c>
      <c r="D726" t="s">
        <v>1318</v>
      </c>
    </row>
    <row r="727" spans="1:4" x14ac:dyDescent="0.35">
      <c r="A727">
        <v>51011105</v>
      </c>
      <c r="B727" t="s">
        <v>792</v>
      </c>
      <c r="C727">
        <v>79.989999999999995</v>
      </c>
      <c r="D727" t="s">
        <v>1337</v>
      </c>
    </row>
    <row r="728" spans="1:4" x14ac:dyDescent="0.35">
      <c r="A728">
        <v>51011117</v>
      </c>
      <c r="B728" t="s">
        <v>793</v>
      </c>
      <c r="C728">
        <v>79.989999999999995</v>
      </c>
      <c r="D728" t="s">
        <v>1337</v>
      </c>
    </row>
    <row r="729" spans="1:4" x14ac:dyDescent="0.35">
      <c r="A729">
        <v>51011129</v>
      </c>
      <c r="B729" t="s">
        <v>794</v>
      </c>
      <c r="C729">
        <v>89.99</v>
      </c>
      <c r="D729" t="s">
        <v>1337</v>
      </c>
    </row>
    <row r="730" spans="1:4" x14ac:dyDescent="0.35">
      <c r="A730">
        <v>51011131</v>
      </c>
      <c r="B730" t="s">
        <v>795</v>
      </c>
      <c r="C730">
        <v>99.99</v>
      </c>
      <c r="D730" t="s">
        <v>1337</v>
      </c>
    </row>
    <row r="731" spans="1:4" x14ac:dyDescent="0.35">
      <c r="A731">
        <v>51011143</v>
      </c>
      <c r="B731" t="s">
        <v>796</v>
      </c>
      <c r="C731">
        <v>119.99</v>
      </c>
      <c r="D731" t="s">
        <v>1337</v>
      </c>
    </row>
    <row r="732" spans="1:4" x14ac:dyDescent="0.35">
      <c r="A732">
        <v>51011155</v>
      </c>
      <c r="B732" t="s">
        <v>797</v>
      </c>
      <c r="C732">
        <v>119.99</v>
      </c>
      <c r="D732" t="s">
        <v>1337</v>
      </c>
    </row>
    <row r="733" spans="1:4" x14ac:dyDescent="0.35">
      <c r="A733">
        <v>51011206</v>
      </c>
      <c r="B733" t="s">
        <v>798</v>
      </c>
      <c r="C733">
        <v>59.99</v>
      </c>
      <c r="D733" t="s">
        <v>1338</v>
      </c>
    </row>
    <row r="734" spans="1:4" x14ac:dyDescent="0.35">
      <c r="A734">
        <v>51011268</v>
      </c>
      <c r="B734" t="s">
        <v>799</v>
      </c>
      <c r="C734">
        <v>69.989999999999995</v>
      </c>
      <c r="D734" t="s">
        <v>1338</v>
      </c>
    </row>
    <row r="735" spans="1:4" x14ac:dyDescent="0.35">
      <c r="A735">
        <v>51011270</v>
      </c>
      <c r="B735" t="s">
        <v>800</v>
      </c>
      <c r="C735">
        <v>79.989999999999995</v>
      </c>
      <c r="D735" t="s">
        <v>1338</v>
      </c>
    </row>
    <row r="736" spans="1:4" x14ac:dyDescent="0.35">
      <c r="A736">
        <v>51011282</v>
      </c>
      <c r="B736" t="s">
        <v>801</v>
      </c>
      <c r="C736">
        <v>79.989999999999995</v>
      </c>
      <c r="D736" t="s">
        <v>1338</v>
      </c>
    </row>
    <row r="737" spans="1:4" x14ac:dyDescent="0.35">
      <c r="A737">
        <v>51011523</v>
      </c>
      <c r="B737" t="s">
        <v>737</v>
      </c>
      <c r="C737">
        <v>200</v>
      </c>
      <c r="D737" t="s">
        <v>1318</v>
      </c>
    </row>
    <row r="738" spans="1:4" x14ac:dyDescent="0.35">
      <c r="A738">
        <v>51014656</v>
      </c>
      <c r="B738" t="s">
        <v>308</v>
      </c>
      <c r="D738" t="s">
        <v>1318</v>
      </c>
    </row>
    <row r="739" spans="1:4" x14ac:dyDescent="0.35">
      <c r="A739">
        <v>51014769</v>
      </c>
      <c r="B739" t="s">
        <v>802</v>
      </c>
      <c r="C739">
        <v>200</v>
      </c>
      <c r="D739" t="s">
        <v>1318</v>
      </c>
    </row>
    <row r="740" spans="1:4" x14ac:dyDescent="0.35">
      <c r="A740">
        <v>51015608</v>
      </c>
      <c r="B740" t="s">
        <v>802</v>
      </c>
      <c r="C740">
        <v>200</v>
      </c>
      <c r="D740" t="s">
        <v>1318</v>
      </c>
    </row>
    <row r="741" spans="1:4" x14ac:dyDescent="0.35">
      <c r="A741">
        <v>51015658</v>
      </c>
      <c r="B741" t="s">
        <v>308</v>
      </c>
      <c r="D741" t="s">
        <v>1318</v>
      </c>
    </row>
    <row r="742" spans="1:4" x14ac:dyDescent="0.35">
      <c r="A742">
        <v>51016181</v>
      </c>
      <c r="B742" t="s">
        <v>802</v>
      </c>
      <c r="C742">
        <v>250</v>
      </c>
      <c r="D742" t="s">
        <v>1318</v>
      </c>
    </row>
    <row r="743" spans="1:4" x14ac:dyDescent="0.35">
      <c r="A743">
        <v>51018604</v>
      </c>
      <c r="B743" t="s">
        <v>803</v>
      </c>
      <c r="C743">
        <v>1499</v>
      </c>
      <c r="D743" t="s">
        <v>1319</v>
      </c>
    </row>
    <row r="744" spans="1:4" x14ac:dyDescent="0.35">
      <c r="A744">
        <v>51019959</v>
      </c>
      <c r="B744" t="s">
        <v>308</v>
      </c>
      <c r="D744" t="s">
        <v>1318</v>
      </c>
    </row>
    <row r="745" spans="1:4" x14ac:dyDescent="0.35">
      <c r="A745">
        <v>51020003</v>
      </c>
      <c r="B745" t="s">
        <v>804</v>
      </c>
      <c r="C745">
        <v>9.99</v>
      </c>
      <c r="D745" t="s">
        <v>1339</v>
      </c>
    </row>
    <row r="746" spans="1:4" x14ac:dyDescent="0.35">
      <c r="A746">
        <v>51020015</v>
      </c>
      <c r="B746" t="s">
        <v>806</v>
      </c>
      <c r="C746">
        <v>14.99</v>
      </c>
      <c r="D746" t="s">
        <v>1339</v>
      </c>
    </row>
    <row r="747" spans="1:4" x14ac:dyDescent="0.35">
      <c r="A747">
        <v>51020938</v>
      </c>
      <c r="B747" t="s">
        <v>807</v>
      </c>
      <c r="C747">
        <v>200</v>
      </c>
      <c r="D747" t="s">
        <v>1318</v>
      </c>
    </row>
    <row r="748" spans="1:4" x14ac:dyDescent="0.35">
      <c r="A748">
        <v>51022261</v>
      </c>
      <c r="B748" t="s">
        <v>802</v>
      </c>
      <c r="C748">
        <v>200</v>
      </c>
      <c r="D748" t="s">
        <v>1318</v>
      </c>
    </row>
    <row r="749" spans="1:4" x14ac:dyDescent="0.35">
      <c r="A749">
        <v>51029277</v>
      </c>
      <c r="B749" t="s">
        <v>802</v>
      </c>
      <c r="C749">
        <v>200</v>
      </c>
      <c r="D749" t="s">
        <v>1318</v>
      </c>
    </row>
    <row r="750" spans="1:4" x14ac:dyDescent="0.35">
      <c r="A750">
        <v>51037806</v>
      </c>
      <c r="B750" t="s">
        <v>808</v>
      </c>
      <c r="C750">
        <v>250</v>
      </c>
      <c r="D750" t="s">
        <v>1318</v>
      </c>
    </row>
    <row r="751" spans="1:4" x14ac:dyDescent="0.35">
      <c r="A751">
        <v>51048506</v>
      </c>
      <c r="B751" t="s">
        <v>809</v>
      </c>
      <c r="C751">
        <v>240</v>
      </c>
      <c r="D751" t="s">
        <v>1318</v>
      </c>
    </row>
    <row r="752" spans="1:4" x14ac:dyDescent="0.35">
      <c r="A752">
        <v>51083473</v>
      </c>
      <c r="B752" t="s">
        <v>807</v>
      </c>
      <c r="C752">
        <v>200</v>
      </c>
      <c r="D752" t="s">
        <v>1318</v>
      </c>
    </row>
    <row r="753" spans="1:4" x14ac:dyDescent="0.35">
      <c r="A753">
        <v>51099046</v>
      </c>
      <c r="B753" t="s">
        <v>308</v>
      </c>
      <c r="D753" t="s">
        <v>1318</v>
      </c>
    </row>
    <row r="754" spans="1:4" x14ac:dyDescent="0.35">
      <c r="A754">
        <v>51099147</v>
      </c>
      <c r="B754" t="s">
        <v>308</v>
      </c>
      <c r="D754" t="s">
        <v>1318</v>
      </c>
    </row>
    <row r="755" spans="1:4" x14ac:dyDescent="0.35">
      <c r="A755">
        <v>51099349</v>
      </c>
      <c r="B755" t="s">
        <v>308</v>
      </c>
      <c r="D755" t="s">
        <v>1318</v>
      </c>
    </row>
    <row r="756" spans="1:4" x14ac:dyDescent="0.35">
      <c r="A756">
        <v>51099351</v>
      </c>
      <c r="B756" t="s">
        <v>308</v>
      </c>
      <c r="D756" t="s">
        <v>1318</v>
      </c>
    </row>
    <row r="757" spans="1:4" x14ac:dyDescent="0.35">
      <c r="A757">
        <v>51099755</v>
      </c>
      <c r="B757" t="s">
        <v>810</v>
      </c>
      <c r="C757">
        <v>400</v>
      </c>
      <c r="D757" t="s">
        <v>1321</v>
      </c>
    </row>
    <row r="758" spans="1:4" x14ac:dyDescent="0.35">
      <c r="A758">
        <v>51100546</v>
      </c>
      <c r="B758" t="s">
        <v>811</v>
      </c>
      <c r="C758">
        <v>1319</v>
      </c>
      <c r="D758" t="s">
        <v>1165</v>
      </c>
    </row>
    <row r="759" spans="1:4" x14ac:dyDescent="0.35">
      <c r="A759">
        <v>51100558</v>
      </c>
      <c r="B759" t="s">
        <v>813</v>
      </c>
      <c r="C759">
        <v>1119</v>
      </c>
      <c r="D759" t="s">
        <v>1166</v>
      </c>
    </row>
    <row r="760" spans="1:4" x14ac:dyDescent="0.35">
      <c r="A760">
        <v>51100560</v>
      </c>
      <c r="B760" t="s">
        <v>814</v>
      </c>
      <c r="C760">
        <v>1995</v>
      </c>
      <c r="D760" t="s">
        <v>1167</v>
      </c>
    </row>
    <row r="761" spans="1:4" x14ac:dyDescent="0.35">
      <c r="A761">
        <v>51100572</v>
      </c>
      <c r="B761" t="s">
        <v>815</v>
      </c>
      <c r="C761">
        <v>2595</v>
      </c>
      <c r="D761" t="s">
        <v>1168</v>
      </c>
    </row>
    <row r="762" spans="1:4" x14ac:dyDescent="0.35">
      <c r="A762">
        <v>51100584</v>
      </c>
      <c r="B762" t="s">
        <v>816</v>
      </c>
      <c r="C762">
        <v>3895</v>
      </c>
      <c r="D762" t="s">
        <v>1169</v>
      </c>
    </row>
    <row r="763" spans="1:4" x14ac:dyDescent="0.35">
      <c r="A763">
        <v>51100596</v>
      </c>
      <c r="B763" t="s">
        <v>817</v>
      </c>
      <c r="C763">
        <v>3195</v>
      </c>
      <c r="D763" t="s">
        <v>1170</v>
      </c>
    </row>
    <row r="764" spans="1:4" x14ac:dyDescent="0.35">
      <c r="A764">
        <v>51100685</v>
      </c>
      <c r="B764" t="s">
        <v>818</v>
      </c>
      <c r="C764">
        <v>1199</v>
      </c>
      <c r="D764" t="s">
        <v>1171</v>
      </c>
    </row>
    <row r="765" spans="1:4" x14ac:dyDescent="0.35">
      <c r="A765">
        <v>51101776</v>
      </c>
      <c r="B765" t="s">
        <v>819</v>
      </c>
      <c r="C765">
        <v>1777</v>
      </c>
      <c r="D765" t="s">
        <v>1172</v>
      </c>
    </row>
    <row r="766" spans="1:4" x14ac:dyDescent="0.35">
      <c r="A766">
        <v>51107463</v>
      </c>
      <c r="B766" t="s">
        <v>820</v>
      </c>
      <c r="C766">
        <v>2899</v>
      </c>
      <c r="D766" t="s">
        <v>1175</v>
      </c>
    </row>
    <row r="767" spans="1:4" x14ac:dyDescent="0.35">
      <c r="A767">
        <v>51107475</v>
      </c>
      <c r="B767" t="s">
        <v>821</v>
      </c>
      <c r="C767">
        <v>3199</v>
      </c>
      <c r="D767" t="s">
        <v>1176</v>
      </c>
    </row>
    <row r="768" spans="1:4" x14ac:dyDescent="0.35">
      <c r="A768">
        <v>51107487</v>
      </c>
      <c r="B768" t="s">
        <v>822</v>
      </c>
      <c r="C768">
        <v>4099</v>
      </c>
      <c r="D768" t="s">
        <v>1177</v>
      </c>
    </row>
    <row r="769" spans="1:4" x14ac:dyDescent="0.35">
      <c r="A769">
        <v>51107502</v>
      </c>
      <c r="B769" t="s">
        <v>823</v>
      </c>
      <c r="C769">
        <v>5099</v>
      </c>
      <c r="D769" t="s">
        <v>1178</v>
      </c>
    </row>
    <row r="770" spans="1:4" x14ac:dyDescent="0.35">
      <c r="A770">
        <v>51107514</v>
      </c>
      <c r="B770" t="s">
        <v>824</v>
      </c>
      <c r="C770">
        <v>5099</v>
      </c>
      <c r="D770" t="s">
        <v>1179</v>
      </c>
    </row>
    <row r="771" spans="1:4" x14ac:dyDescent="0.35">
      <c r="A771">
        <v>51107526</v>
      </c>
      <c r="B771" t="s">
        <v>825</v>
      </c>
      <c r="C771">
        <v>4099</v>
      </c>
      <c r="D771" t="s">
        <v>1180</v>
      </c>
    </row>
    <row r="772" spans="1:4" x14ac:dyDescent="0.35">
      <c r="A772">
        <v>51107538</v>
      </c>
      <c r="B772" t="s">
        <v>826</v>
      </c>
      <c r="C772">
        <v>4099</v>
      </c>
      <c r="D772" t="s">
        <v>1181</v>
      </c>
    </row>
    <row r="773" spans="1:4" x14ac:dyDescent="0.35">
      <c r="A773">
        <v>51107552</v>
      </c>
      <c r="B773" t="s">
        <v>827</v>
      </c>
      <c r="C773">
        <v>4099</v>
      </c>
      <c r="D773" t="s">
        <v>1182</v>
      </c>
    </row>
    <row r="774" spans="1:4" x14ac:dyDescent="0.35">
      <c r="A774">
        <v>51107564</v>
      </c>
      <c r="B774" t="s">
        <v>828</v>
      </c>
      <c r="C774">
        <v>5399</v>
      </c>
      <c r="D774" t="s">
        <v>1183</v>
      </c>
    </row>
    <row r="775" spans="1:4" x14ac:dyDescent="0.35">
      <c r="A775">
        <v>51107576</v>
      </c>
      <c r="B775" t="s">
        <v>829</v>
      </c>
      <c r="C775">
        <v>5399</v>
      </c>
      <c r="D775" t="s">
        <v>1184</v>
      </c>
    </row>
    <row r="776" spans="1:4" x14ac:dyDescent="0.35">
      <c r="A776">
        <v>51107588</v>
      </c>
      <c r="B776" t="s">
        <v>830</v>
      </c>
      <c r="C776">
        <v>5399</v>
      </c>
      <c r="D776" t="s">
        <v>1185</v>
      </c>
    </row>
    <row r="777" spans="1:4" x14ac:dyDescent="0.35">
      <c r="A777">
        <v>51107590</v>
      </c>
      <c r="B777" t="s">
        <v>831</v>
      </c>
      <c r="C777">
        <v>7399</v>
      </c>
      <c r="D777" t="s">
        <v>1186</v>
      </c>
    </row>
    <row r="778" spans="1:4" x14ac:dyDescent="0.35">
      <c r="A778">
        <v>51107603</v>
      </c>
      <c r="B778" t="s">
        <v>832</v>
      </c>
      <c r="C778">
        <v>6399</v>
      </c>
      <c r="D778" t="s">
        <v>1187</v>
      </c>
    </row>
    <row r="779" spans="1:4" x14ac:dyDescent="0.35">
      <c r="A779">
        <v>51107615</v>
      </c>
      <c r="B779" t="s">
        <v>833</v>
      </c>
      <c r="C779">
        <v>6399</v>
      </c>
      <c r="D779" t="s">
        <v>1188</v>
      </c>
    </row>
    <row r="780" spans="1:4" x14ac:dyDescent="0.35">
      <c r="A780">
        <v>51107627</v>
      </c>
      <c r="B780" t="s">
        <v>834</v>
      </c>
      <c r="C780">
        <v>6399</v>
      </c>
      <c r="D780" t="s">
        <v>1189</v>
      </c>
    </row>
    <row r="781" spans="1:4" x14ac:dyDescent="0.35">
      <c r="A781">
        <v>51109873</v>
      </c>
      <c r="B781" t="s">
        <v>835</v>
      </c>
      <c r="C781">
        <v>1397</v>
      </c>
      <c r="D781" t="s">
        <v>1190</v>
      </c>
    </row>
    <row r="782" spans="1:4" x14ac:dyDescent="0.35">
      <c r="A782">
        <v>51109885</v>
      </c>
      <c r="B782" t="s">
        <v>836</v>
      </c>
      <c r="C782">
        <v>1495</v>
      </c>
      <c r="D782" t="s">
        <v>1191</v>
      </c>
    </row>
    <row r="783" spans="1:4" x14ac:dyDescent="0.35">
      <c r="A783">
        <v>51109897</v>
      </c>
      <c r="B783" t="s">
        <v>837</v>
      </c>
      <c r="C783">
        <v>2197</v>
      </c>
      <c r="D783" t="s">
        <v>1192</v>
      </c>
    </row>
    <row r="784" spans="1:4" x14ac:dyDescent="0.35">
      <c r="A784">
        <v>51109900</v>
      </c>
      <c r="B784" t="s">
        <v>838</v>
      </c>
      <c r="C784">
        <v>2497</v>
      </c>
      <c r="D784" t="s">
        <v>1193</v>
      </c>
    </row>
    <row r="785" spans="1:4" x14ac:dyDescent="0.35">
      <c r="A785">
        <v>51109936</v>
      </c>
      <c r="B785" t="s">
        <v>839</v>
      </c>
      <c r="C785">
        <v>1177</v>
      </c>
      <c r="D785" t="s">
        <v>1194</v>
      </c>
    </row>
    <row r="786" spans="1:4" x14ac:dyDescent="0.35">
      <c r="A786">
        <v>51110674</v>
      </c>
      <c r="B786" t="s">
        <v>840</v>
      </c>
      <c r="C786">
        <v>1195</v>
      </c>
      <c r="D786" t="s">
        <v>1196</v>
      </c>
    </row>
    <row r="787" spans="1:4" x14ac:dyDescent="0.35">
      <c r="A787">
        <v>51115597</v>
      </c>
      <c r="B787" t="s">
        <v>841</v>
      </c>
      <c r="C787">
        <v>1299.99</v>
      </c>
      <c r="D787" t="s">
        <v>1215</v>
      </c>
    </row>
    <row r="788" spans="1:4" x14ac:dyDescent="0.35">
      <c r="A788">
        <v>51116169</v>
      </c>
      <c r="B788" t="s">
        <v>842</v>
      </c>
      <c r="C788">
        <v>2299</v>
      </c>
      <c r="D788" t="s">
        <v>1216</v>
      </c>
    </row>
    <row r="789" spans="1:4" x14ac:dyDescent="0.35">
      <c r="A789">
        <v>51116171</v>
      </c>
      <c r="B789" t="s">
        <v>843</v>
      </c>
      <c r="C789">
        <v>2899</v>
      </c>
      <c r="D789" t="s">
        <v>1217</v>
      </c>
    </row>
    <row r="790" spans="1:4" x14ac:dyDescent="0.35">
      <c r="A790">
        <v>51122213</v>
      </c>
      <c r="B790" t="s">
        <v>844</v>
      </c>
      <c r="C790">
        <v>697</v>
      </c>
      <c r="D790" t="s">
        <v>1222</v>
      </c>
    </row>
    <row r="791" spans="1:4" x14ac:dyDescent="0.35">
      <c r="A791">
        <v>51125651</v>
      </c>
      <c r="B791" t="s">
        <v>845</v>
      </c>
      <c r="C791">
        <v>1495</v>
      </c>
      <c r="D791" t="s">
        <v>1223</v>
      </c>
    </row>
    <row r="792" spans="1:4" x14ac:dyDescent="0.35">
      <c r="A792">
        <v>51125740</v>
      </c>
      <c r="B792" t="s">
        <v>846</v>
      </c>
      <c r="C792">
        <v>1749</v>
      </c>
      <c r="D792" t="s">
        <v>1224</v>
      </c>
    </row>
    <row r="793" spans="1:4" x14ac:dyDescent="0.35">
      <c r="A793">
        <v>51125752</v>
      </c>
      <c r="B793" t="s">
        <v>847</v>
      </c>
      <c r="C793">
        <v>1949</v>
      </c>
      <c r="D793" t="s">
        <v>1225</v>
      </c>
    </row>
    <row r="794" spans="1:4" x14ac:dyDescent="0.35">
      <c r="A794">
        <v>51125803</v>
      </c>
      <c r="B794" t="s">
        <v>848</v>
      </c>
      <c r="C794">
        <v>2299</v>
      </c>
      <c r="D794" t="s">
        <v>1226</v>
      </c>
    </row>
    <row r="795" spans="1:4" x14ac:dyDescent="0.35">
      <c r="A795">
        <v>51128950</v>
      </c>
      <c r="B795" t="s">
        <v>849</v>
      </c>
      <c r="C795">
        <v>1397</v>
      </c>
      <c r="D795" t="s">
        <v>1227</v>
      </c>
    </row>
    <row r="796" spans="1:4" x14ac:dyDescent="0.35">
      <c r="A796">
        <v>51128974</v>
      </c>
      <c r="B796" t="s">
        <v>850</v>
      </c>
      <c r="C796">
        <v>1497</v>
      </c>
      <c r="D796" t="s">
        <v>1229</v>
      </c>
    </row>
    <row r="797" spans="1:4" x14ac:dyDescent="0.35">
      <c r="A797">
        <v>51129178</v>
      </c>
      <c r="B797" t="s">
        <v>851</v>
      </c>
      <c r="C797">
        <v>1077</v>
      </c>
      <c r="D797" t="s">
        <v>1231</v>
      </c>
    </row>
    <row r="798" spans="1:4" x14ac:dyDescent="0.35">
      <c r="A798">
        <v>51129180</v>
      </c>
      <c r="B798" t="s">
        <v>852</v>
      </c>
      <c r="C798">
        <v>1477</v>
      </c>
      <c r="D798" t="s">
        <v>1232</v>
      </c>
    </row>
    <row r="799" spans="1:4" x14ac:dyDescent="0.35">
      <c r="A799">
        <v>51129205</v>
      </c>
      <c r="B799" t="s">
        <v>853</v>
      </c>
      <c r="C799">
        <v>1397</v>
      </c>
      <c r="D799" t="s">
        <v>1233</v>
      </c>
    </row>
    <row r="800" spans="1:4" x14ac:dyDescent="0.35">
      <c r="A800">
        <v>51129217</v>
      </c>
      <c r="B800" t="s">
        <v>854</v>
      </c>
      <c r="C800">
        <v>1577</v>
      </c>
      <c r="D800" t="s">
        <v>1234</v>
      </c>
    </row>
    <row r="801" spans="1:4" x14ac:dyDescent="0.35">
      <c r="A801">
        <v>51129243</v>
      </c>
      <c r="B801" t="s">
        <v>855</v>
      </c>
      <c r="C801">
        <v>1797</v>
      </c>
      <c r="D801" t="s">
        <v>1235</v>
      </c>
    </row>
    <row r="802" spans="1:4" x14ac:dyDescent="0.35">
      <c r="A802">
        <v>51129255</v>
      </c>
      <c r="B802" t="s">
        <v>856</v>
      </c>
      <c r="C802">
        <v>1999</v>
      </c>
      <c r="D802" t="s">
        <v>1236</v>
      </c>
    </row>
    <row r="803" spans="1:4" x14ac:dyDescent="0.35">
      <c r="A803">
        <v>51129267</v>
      </c>
      <c r="B803" t="s">
        <v>857</v>
      </c>
      <c r="C803">
        <v>2299</v>
      </c>
      <c r="D803" t="s">
        <v>1237</v>
      </c>
    </row>
    <row r="804" spans="1:4" x14ac:dyDescent="0.35">
      <c r="A804">
        <v>51137050</v>
      </c>
      <c r="B804" t="s">
        <v>858</v>
      </c>
      <c r="C804">
        <v>2599</v>
      </c>
      <c r="D804" t="s">
        <v>1238</v>
      </c>
    </row>
    <row r="805" spans="1:4" x14ac:dyDescent="0.35">
      <c r="A805">
        <v>51137062</v>
      </c>
      <c r="B805" t="s">
        <v>860</v>
      </c>
      <c r="C805">
        <v>2999</v>
      </c>
      <c r="D805" t="s">
        <v>1239</v>
      </c>
    </row>
    <row r="806" spans="1:4" x14ac:dyDescent="0.35">
      <c r="A806">
        <v>51137074</v>
      </c>
      <c r="B806" t="s">
        <v>861</v>
      </c>
      <c r="C806">
        <v>2999</v>
      </c>
      <c r="D806" t="s">
        <v>1240</v>
      </c>
    </row>
    <row r="807" spans="1:4" x14ac:dyDescent="0.35">
      <c r="A807">
        <v>51137086</v>
      </c>
      <c r="B807" t="s">
        <v>862</v>
      </c>
      <c r="C807">
        <v>3299</v>
      </c>
      <c r="D807" t="s">
        <v>1241</v>
      </c>
    </row>
    <row r="808" spans="1:4" x14ac:dyDescent="0.35">
      <c r="A808">
        <v>51137098</v>
      </c>
      <c r="B808" t="s">
        <v>863</v>
      </c>
      <c r="C808">
        <v>3299</v>
      </c>
      <c r="D808" t="s">
        <v>1242</v>
      </c>
    </row>
    <row r="809" spans="1:4" x14ac:dyDescent="0.35">
      <c r="A809">
        <v>51137113</v>
      </c>
      <c r="B809" t="s">
        <v>864</v>
      </c>
      <c r="C809">
        <v>3299</v>
      </c>
      <c r="D809" t="s">
        <v>1243</v>
      </c>
    </row>
    <row r="810" spans="1:4" x14ac:dyDescent="0.35">
      <c r="A810">
        <v>51137125</v>
      </c>
      <c r="B810" t="s">
        <v>865</v>
      </c>
      <c r="C810">
        <v>3599</v>
      </c>
      <c r="D810" t="s">
        <v>1244</v>
      </c>
    </row>
    <row r="811" spans="1:4" x14ac:dyDescent="0.35">
      <c r="A811">
        <v>51137137</v>
      </c>
      <c r="B811" t="s">
        <v>866</v>
      </c>
      <c r="C811">
        <v>3599</v>
      </c>
      <c r="D811" t="s">
        <v>1245</v>
      </c>
    </row>
    <row r="812" spans="1:4" x14ac:dyDescent="0.35">
      <c r="A812">
        <v>51137149</v>
      </c>
      <c r="B812" t="s">
        <v>867</v>
      </c>
      <c r="C812">
        <v>3599</v>
      </c>
      <c r="D812" t="s">
        <v>1246</v>
      </c>
    </row>
    <row r="813" spans="1:4" x14ac:dyDescent="0.35">
      <c r="A813">
        <v>51137151</v>
      </c>
      <c r="B813" t="s">
        <v>868</v>
      </c>
      <c r="C813">
        <v>3799</v>
      </c>
      <c r="D813" t="s">
        <v>1247</v>
      </c>
    </row>
    <row r="814" spans="1:4" x14ac:dyDescent="0.35">
      <c r="A814">
        <v>51137163</v>
      </c>
      <c r="B814" t="s">
        <v>869</v>
      </c>
      <c r="C814">
        <v>3799</v>
      </c>
      <c r="D814" t="s">
        <v>1248</v>
      </c>
    </row>
    <row r="815" spans="1:4" x14ac:dyDescent="0.35">
      <c r="A815">
        <v>51137175</v>
      </c>
      <c r="B815" t="s">
        <v>870</v>
      </c>
      <c r="C815">
        <v>4499</v>
      </c>
      <c r="D815" t="s">
        <v>1249</v>
      </c>
    </row>
    <row r="816" spans="1:4" x14ac:dyDescent="0.35">
      <c r="A816">
        <v>51137187</v>
      </c>
      <c r="B816" t="s">
        <v>871</v>
      </c>
      <c r="C816">
        <v>4499</v>
      </c>
      <c r="D816" t="s">
        <v>1250</v>
      </c>
    </row>
    <row r="817" spans="1:4" x14ac:dyDescent="0.35">
      <c r="A817">
        <v>51137199</v>
      </c>
      <c r="B817" t="s">
        <v>872</v>
      </c>
      <c r="C817">
        <v>4499</v>
      </c>
      <c r="D817" t="s">
        <v>1251</v>
      </c>
    </row>
    <row r="818" spans="1:4" x14ac:dyDescent="0.35">
      <c r="A818">
        <v>51137202</v>
      </c>
      <c r="B818" t="s">
        <v>873</v>
      </c>
      <c r="C818">
        <v>4899</v>
      </c>
      <c r="D818" t="s">
        <v>1252</v>
      </c>
    </row>
    <row r="819" spans="1:4" x14ac:dyDescent="0.35">
      <c r="A819">
        <v>51137214</v>
      </c>
      <c r="B819" t="s">
        <v>874</v>
      </c>
      <c r="C819">
        <v>4899</v>
      </c>
      <c r="D819" t="s">
        <v>1253</v>
      </c>
    </row>
    <row r="820" spans="1:4" x14ac:dyDescent="0.35">
      <c r="A820">
        <v>51137226</v>
      </c>
      <c r="B820" t="s">
        <v>875</v>
      </c>
      <c r="C820">
        <v>4899</v>
      </c>
      <c r="D820" t="s">
        <v>1254</v>
      </c>
    </row>
    <row r="821" spans="1:4" x14ac:dyDescent="0.35">
      <c r="A821">
        <v>51137238</v>
      </c>
      <c r="B821" t="s">
        <v>876</v>
      </c>
      <c r="C821">
        <v>6199</v>
      </c>
      <c r="D821" t="s">
        <v>1255</v>
      </c>
    </row>
    <row r="822" spans="1:4" x14ac:dyDescent="0.35">
      <c r="A822">
        <v>51137252</v>
      </c>
      <c r="B822" t="s">
        <v>877</v>
      </c>
      <c r="C822">
        <v>6199</v>
      </c>
      <c r="D822" t="s">
        <v>1256</v>
      </c>
    </row>
    <row r="823" spans="1:4" x14ac:dyDescent="0.35">
      <c r="A823">
        <v>51137264</v>
      </c>
      <c r="B823" t="s">
        <v>878</v>
      </c>
      <c r="C823">
        <v>6199</v>
      </c>
      <c r="D823" t="s">
        <v>1257</v>
      </c>
    </row>
    <row r="824" spans="1:4" x14ac:dyDescent="0.35">
      <c r="A824">
        <v>51137288</v>
      </c>
      <c r="B824" t="s">
        <v>879</v>
      </c>
      <c r="C824">
        <v>2599</v>
      </c>
      <c r="D824" t="s">
        <v>1258</v>
      </c>
    </row>
    <row r="825" spans="1:4" x14ac:dyDescent="0.35">
      <c r="A825">
        <v>51137290</v>
      </c>
      <c r="B825" t="s">
        <v>880</v>
      </c>
      <c r="C825">
        <v>3199</v>
      </c>
      <c r="D825" t="s">
        <v>1259</v>
      </c>
    </row>
    <row r="826" spans="1:4" x14ac:dyDescent="0.35">
      <c r="A826">
        <v>51137315</v>
      </c>
      <c r="B826" t="s">
        <v>881</v>
      </c>
      <c r="C826">
        <v>3799</v>
      </c>
      <c r="D826" t="s">
        <v>1260</v>
      </c>
    </row>
    <row r="827" spans="1:4" x14ac:dyDescent="0.35">
      <c r="A827">
        <v>51137327</v>
      </c>
      <c r="B827" t="s">
        <v>882</v>
      </c>
      <c r="C827">
        <v>4099</v>
      </c>
      <c r="D827" t="s">
        <v>1261</v>
      </c>
    </row>
    <row r="828" spans="1:4" x14ac:dyDescent="0.35">
      <c r="A828">
        <v>51137339</v>
      </c>
      <c r="B828" t="s">
        <v>883</v>
      </c>
      <c r="C828">
        <v>4399</v>
      </c>
      <c r="D828" t="s">
        <v>1262</v>
      </c>
    </row>
    <row r="829" spans="1:4" x14ac:dyDescent="0.35">
      <c r="A829">
        <v>51137341</v>
      </c>
      <c r="B829" t="s">
        <v>884</v>
      </c>
      <c r="C829">
        <v>4399</v>
      </c>
      <c r="D829" t="s">
        <v>1263</v>
      </c>
    </row>
    <row r="830" spans="1:4" x14ac:dyDescent="0.35">
      <c r="A830">
        <v>51137353</v>
      </c>
      <c r="B830" t="s">
        <v>885</v>
      </c>
      <c r="C830">
        <v>4899</v>
      </c>
      <c r="D830" t="s">
        <v>1264</v>
      </c>
    </row>
    <row r="831" spans="1:4" x14ac:dyDescent="0.35">
      <c r="A831">
        <v>51147998</v>
      </c>
      <c r="B831" t="s">
        <v>886</v>
      </c>
      <c r="C831">
        <v>2599</v>
      </c>
      <c r="D831" t="s">
        <v>1266</v>
      </c>
    </row>
    <row r="832" spans="1:4" x14ac:dyDescent="0.35">
      <c r="A832">
        <v>51148015</v>
      </c>
      <c r="B832" t="s">
        <v>887</v>
      </c>
      <c r="C832">
        <v>2599</v>
      </c>
      <c r="D832" t="s">
        <v>1268</v>
      </c>
    </row>
    <row r="833" spans="1:4" x14ac:dyDescent="0.35">
      <c r="A833">
        <v>51148027</v>
      </c>
      <c r="B833" t="s">
        <v>888</v>
      </c>
      <c r="C833">
        <v>2999</v>
      </c>
      <c r="D833" t="s">
        <v>1269</v>
      </c>
    </row>
    <row r="834" spans="1:4" x14ac:dyDescent="0.35">
      <c r="A834">
        <v>51148039</v>
      </c>
      <c r="B834" t="s">
        <v>889</v>
      </c>
      <c r="C834">
        <v>2999</v>
      </c>
      <c r="D834" t="s">
        <v>1270</v>
      </c>
    </row>
    <row r="835" spans="1:4" x14ac:dyDescent="0.35">
      <c r="A835">
        <v>51148041</v>
      </c>
      <c r="B835" t="s">
        <v>890</v>
      </c>
      <c r="C835">
        <v>2999</v>
      </c>
      <c r="D835" t="s">
        <v>1271</v>
      </c>
    </row>
    <row r="836" spans="1:4" x14ac:dyDescent="0.35">
      <c r="A836">
        <v>51148053</v>
      </c>
      <c r="B836" t="s">
        <v>891</v>
      </c>
      <c r="C836">
        <v>3199</v>
      </c>
      <c r="D836" t="s">
        <v>1272</v>
      </c>
    </row>
    <row r="837" spans="1:4" x14ac:dyDescent="0.35">
      <c r="A837">
        <v>51148065</v>
      </c>
      <c r="B837" t="s">
        <v>892</v>
      </c>
      <c r="C837">
        <v>3199</v>
      </c>
      <c r="D837" t="s">
        <v>1273</v>
      </c>
    </row>
    <row r="838" spans="1:4" x14ac:dyDescent="0.35">
      <c r="A838">
        <v>51148077</v>
      </c>
      <c r="B838" t="s">
        <v>893</v>
      </c>
      <c r="C838">
        <v>3799</v>
      </c>
      <c r="D838" t="s">
        <v>1274</v>
      </c>
    </row>
    <row r="839" spans="1:4" x14ac:dyDescent="0.35">
      <c r="A839">
        <v>51148091</v>
      </c>
      <c r="B839" t="s">
        <v>894</v>
      </c>
      <c r="C839">
        <v>3799</v>
      </c>
      <c r="D839" t="s">
        <v>1275</v>
      </c>
    </row>
    <row r="840" spans="1:4" x14ac:dyDescent="0.35">
      <c r="A840">
        <v>51148104</v>
      </c>
      <c r="B840" t="s">
        <v>895</v>
      </c>
      <c r="C840">
        <v>4099</v>
      </c>
      <c r="D840" t="s">
        <v>1276</v>
      </c>
    </row>
    <row r="841" spans="1:4" x14ac:dyDescent="0.35">
      <c r="A841">
        <v>51148116</v>
      </c>
      <c r="B841" t="s">
        <v>896</v>
      </c>
      <c r="C841">
        <v>4099</v>
      </c>
      <c r="D841" t="s">
        <v>1277</v>
      </c>
    </row>
    <row r="842" spans="1:4" x14ac:dyDescent="0.35">
      <c r="A842">
        <v>51148128</v>
      </c>
      <c r="B842" t="s">
        <v>897</v>
      </c>
      <c r="C842">
        <v>4399</v>
      </c>
      <c r="D842" t="s">
        <v>1278</v>
      </c>
    </row>
    <row r="843" spans="1:4" x14ac:dyDescent="0.35">
      <c r="A843">
        <v>51148154</v>
      </c>
      <c r="B843" t="s">
        <v>898</v>
      </c>
      <c r="C843">
        <v>4199</v>
      </c>
      <c r="D843" t="s">
        <v>1279</v>
      </c>
    </row>
    <row r="844" spans="1:4" x14ac:dyDescent="0.35">
      <c r="A844">
        <v>51148192</v>
      </c>
      <c r="B844" t="s">
        <v>899</v>
      </c>
      <c r="C844">
        <v>5399</v>
      </c>
      <c r="D844" t="s">
        <v>1280</v>
      </c>
    </row>
    <row r="845" spans="1:4" x14ac:dyDescent="0.35">
      <c r="A845">
        <v>51148217</v>
      </c>
      <c r="B845" t="s">
        <v>900</v>
      </c>
      <c r="C845">
        <v>6099</v>
      </c>
      <c r="D845" t="s">
        <v>1281</v>
      </c>
    </row>
    <row r="846" spans="1:4" x14ac:dyDescent="0.35">
      <c r="A846">
        <v>51148231</v>
      </c>
      <c r="B846" t="s">
        <v>901</v>
      </c>
      <c r="C846">
        <v>6099</v>
      </c>
      <c r="D846" t="s">
        <v>1282</v>
      </c>
    </row>
    <row r="847" spans="1:4" x14ac:dyDescent="0.35">
      <c r="A847">
        <v>51148255</v>
      </c>
      <c r="B847" t="s">
        <v>902</v>
      </c>
      <c r="C847">
        <v>7099</v>
      </c>
      <c r="D847" t="s">
        <v>1326</v>
      </c>
    </row>
    <row r="848" spans="1:4" x14ac:dyDescent="0.35">
      <c r="A848">
        <v>51148279</v>
      </c>
      <c r="B848" t="s">
        <v>903</v>
      </c>
      <c r="C848">
        <v>4799</v>
      </c>
      <c r="D848" t="s">
        <v>1283</v>
      </c>
    </row>
    <row r="849" spans="1:4" x14ac:dyDescent="0.35">
      <c r="A849">
        <v>51148293</v>
      </c>
      <c r="B849" t="s">
        <v>904</v>
      </c>
      <c r="C849">
        <v>4199</v>
      </c>
      <c r="D849" t="s">
        <v>1284</v>
      </c>
    </row>
    <row r="850" spans="1:4" x14ac:dyDescent="0.35">
      <c r="A850">
        <v>51170101</v>
      </c>
      <c r="B850" t="s">
        <v>905</v>
      </c>
      <c r="C850">
        <v>1449</v>
      </c>
      <c r="D850" t="s">
        <v>1285</v>
      </c>
    </row>
    <row r="851" spans="1:4" x14ac:dyDescent="0.35">
      <c r="A851">
        <v>51170113</v>
      </c>
      <c r="B851" t="s">
        <v>906</v>
      </c>
      <c r="C851">
        <v>2538</v>
      </c>
      <c r="D851" t="s">
        <v>1286</v>
      </c>
    </row>
    <row r="852" spans="1:4" x14ac:dyDescent="0.35">
      <c r="A852">
        <v>51170125</v>
      </c>
      <c r="B852" t="s">
        <v>907</v>
      </c>
      <c r="C852">
        <v>3599</v>
      </c>
      <c r="D852" t="s">
        <v>1287</v>
      </c>
    </row>
    <row r="853" spans="1:4" x14ac:dyDescent="0.35">
      <c r="A853">
        <v>51205550</v>
      </c>
      <c r="B853" t="s">
        <v>908</v>
      </c>
      <c r="C853">
        <v>200</v>
      </c>
      <c r="D853" t="s">
        <v>1318</v>
      </c>
    </row>
    <row r="854" spans="1:4" x14ac:dyDescent="0.35">
      <c r="A854">
        <v>51210979</v>
      </c>
      <c r="B854" t="s">
        <v>909</v>
      </c>
      <c r="C854">
        <v>200</v>
      </c>
      <c r="D854" t="s">
        <v>1318</v>
      </c>
    </row>
    <row r="855" spans="1:4" x14ac:dyDescent="0.35">
      <c r="A855">
        <v>51211084</v>
      </c>
      <c r="B855" t="s">
        <v>909</v>
      </c>
      <c r="C855">
        <v>200</v>
      </c>
      <c r="D855" t="s">
        <v>1318</v>
      </c>
    </row>
    <row r="856" spans="1:4" x14ac:dyDescent="0.35">
      <c r="A856">
        <v>51211527</v>
      </c>
      <c r="B856" t="s">
        <v>909</v>
      </c>
      <c r="C856">
        <v>200</v>
      </c>
      <c r="D856" t="s">
        <v>1318</v>
      </c>
    </row>
    <row r="857" spans="1:4" x14ac:dyDescent="0.35">
      <c r="A857">
        <v>51212113</v>
      </c>
      <c r="B857" t="s">
        <v>910</v>
      </c>
      <c r="C857">
        <v>200</v>
      </c>
      <c r="D857" t="s">
        <v>1318</v>
      </c>
    </row>
    <row r="858" spans="1:4" x14ac:dyDescent="0.35">
      <c r="A858">
        <v>51214763</v>
      </c>
      <c r="B858" t="s">
        <v>909</v>
      </c>
      <c r="C858">
        <v>200</v>
      </c>
      <c r="D858" t="s">
        <v>1318</v>
      </c>
    </row>
    <row r="859" spans="1:4" x14ac:dyDescent="0.35">
      <c r="A859">
        <v>51215602</v>
      </c>
      <c r="B859" t="s">
        <v>909</v>
      </c>
      <c r="C859">
        <v>200</v>
      </c>
      <c r="D859" t="s">
        <v>1318</v>
      </c>
    </row>
    <row r="860" spans="1:4" x14ac:dyDescent="0.35">
      <c r="A860">
        <v>51216185</v>
      </c>
      <c r="B860" t="s">
        <v>909</v>
      </c>
      <c r="C860">
        <v>200</v>
      </c>
      <c r="D860" t="s">
        <v>1318</v>
      </c>
    </row>
    <row r="861" spans="1:4" x14ac:dyDescent="0.35">
      <c r="A861">
        <v>51219953</v>
      </c>
      <c r="B861" t="s">
        <v>308</v>
      </c>
      <c r="D861" t="s">
        <v>1318</v>
      </c>
    </row>
    <row r="862" spans="1:4" x14ac:dyDescent="0.35">
      <c r="A862">
        <v>51222265</v>
      </c>
      <c r="B862" t="s">
        <v>909</v>
      </c>
      <c r="C862">
        <v>200</v>
      </c>
      <c r="D862" t="s">
        <v>1318</v>
      </c>
    </row>
    <row r="863" spans="1:4" x14ac:dyDescent="0.35">
      <c r="A863">
        <v>51229271</v>
      </c>
      <c r="B863" t="s">
        <v>909</v>
      </c>
      <c r="C863">
        <v>200</v>
      </c>
      <c r="D863" t="s">
        <v>1318</v>
      </c>
    </row>
    <row r="864" spans="1:4" x14ac:dyDescent="0.35">
      <c r="A864">
        <v>51232355</v>
      </c>
      <c r="B864" t="s">
        <v>308</v>
      </c>
      <c r="D864" t="s">
        <v>1318</v>
      </c>
    </row>
    <row r="865" spans="1:4" x14ac:dyDescent="0.35">
      <c r="A865">
        <v>51248500</v>
      </c>
      <c r="B865" t="s">
        <v>911</v>
      </c>
      <c r="C865">
        <v>240</v>
      </c>
      <c r="D865" t="s">
        <v>1318</v>
      </c>
    </row>
    <row r="866" spans="1:4" x14ac:dyDescent="0.35">
      <c r="A866">
        <v>51249552</v>
      </c>
      <c r="B866" t="s">
        <v>308</v>
      </c>
      <c r="D866" t="s">
        <v>1318</v>
      </c>
    </row>
    <row r="867" spans="1:4" x14ac:dyDescent="0.35">
      <c r="A867">
        <v>51252636</v>
      </c>
      <c r="B867" t="s">
        <v>909</v>
      </c>
      <c r="C867">
        <v>200</v>
      </c>
      <c r="D867" t="s">
        <v>1318</v>
      </c>
    </row>
    <row r="868" spans="1:4" x14ac:dyDescent="0.35">
      <c r="A868">
        <v>51283477</v>
      </c>
      <c r="B868" t="s">
        <v>912</v>
      </c>
      <c r="C868">
        <v>200</v>
      </c>
      <c r="D868" t="s">
        <v>1318</v>
      </c>
    </row>
    <row r="869" spans="1:4" x14ac:dyDescent="0.35">
      <c r="A869">
        <v>51299040</v>
      </c>
      <c r="B869" t="s">
        <v>308</v>
      </c>
      <c r="D869" t="s">
        <v>1318</v>
      </c>
    </row>
    <row r="870" spans="1:4" x14ac:dyDescent="0.35">
      <c r="A870">
        <v>51299141</v>
      </c>
      <c r="B870" t="s">
        <v>308</v>
      </c>
      <c r="D870" t="s">
        <v>1318</v>
      </c>
    </row>
    <row r="871" spans="1:4" x14ac:dyDescent="0.35">
      <c r="A871">
        <v>51299343</v>
      </c>
      <c r="B871" t="s">
        <v>308</v>
      </c>
      <c r="D871" t="s">
        <v>1318</v>
      </c>
    </row>
    <row r="872" spans="1:4" x14ac:dyDescent="0.35">
      <c r="A872">
        <v>51300487</v>
      </c>
      <c r="B872" t="s">
        <v>913</v>
      </c>
      <c r="C872">
        <v>649</v>
      </c>
      <c r="D872" t="s">
        <v>1322</v>
      </c>
    </row>
    <row r="873" spans="1:4" x14ac:dyDescent="0.35">
      <c r="A873">
        <v>51300514</v>
      </c>
      <c r="B873" t="s">
        <v>914</v>
      </c>
      <c r="C873">
        <v>1399</v>
      </c>
      <c r="D873" t="s">
        <v>1323</v>
      </c>
    </row>
    <row r="874" spans="1:4" x14ac:dyDescent="0.35">
      <c r="A874">
        <v>51307467</v>
      </c>
      <c r="B874" t="s">
        <v>915</v>
      </c>
      <c r="C874">
        <v>1699</v>
      </c>
      <c r="D874" t="s">
        <v>1175</v>
      </c>
    </row>
    <row r="875" spans="1:4" x14ac:dyDescent="0.35">
      <c r="A875">
        <v>51307479</v>
      </c>
      <c r="B875" t="s">
        <v>916</v>
      </c>
      <c r="C875">
        <v>1999</v>
      </c>
      <c r="D875" t="s">
        <v>1176</v>
      </c>
    </row>
    <row r="876" spans="1:4" x14ac:dyDescent="0.35">
      <c r="A876">
        <v>51307481</v>
      </c>
      <c r="B876" t="s">
        <v>917</v>
      </c>
      <c r="C876">
        <v>2899</v>
      </c>
      <c r="D876" t="s">
        <v>1177</v>
      </c>
    </row>
    <row r="877" spans="1:4" x14ac:dyDescent="0.35">
      <c r="A877">
        <v>51307506</v>
      </c>
      <c r="B877" t="s">
        <v>918</v>
      </c>
      <c r="C877">
        <v>3899</v>
      </c>
      <c r="D877" t="s">
        <v>1178</v>
      </c>
    </row>
    <row r="878" spans="1:4" x14ac:dyDescent="0.35">
      <c r="A878">
        <v>51307518</v>
      </c>
      <c r="B878" t="s">
        <v>919</v>
      </c>
      <c r="C878">
        <v>3899</v>
      </c>
      <c r="D878" t="s">
        <v>1179</v>
      </c>
    </row>
    <row r="879" spans="1:4" x14ac:dyDescent="0.35">
      <c r="A879">
        <v>51307520</v>
      </c>
      <c r="B879" t="s">
        <v>920</v>
      </c>
      <c r="C879">
        <v>2899</v>
      </c>
      <c r="D879" t="s">
        <v>1180</v>
      </c>
    </row>
    <row r="880" spans="1:4" x14ac:dyDescent="0.35">
      <c r="A880">
        <v>51307532</v>
      </c>
      <c r="B880" t="s">
        <v>921</v>
      </c>
      <c r="C880">
        <v>2899</v>
      </c>
      <c r="D880" t="s">
        <v>1181</v>
      </c>
    </row>
    <row r="881" spans="1:4" x14ac:dyDescent="0.35">
      <c r="A881">
        <v>51307556</v>
      </c>
      <c r="B881" t="s">
        <v>922</v>
      </c>
      <c r="C881">
        <v>2899</v>
      </c>
      <c r="D881" t="s">
        <v>1182</v>
      </c>
    </row>
    <row r="882" spans="1:4" x14ac:dyDescent="0.35">
      <c r="A882">
        <v>51307568</v>
      </c>
      <c r="B882" t="s">
        <v>923</v>
      </c>
      <c r="C882">
        <v>4199</v>
      </c>
      <c r="D882" t="s">
        <v>1183</v>
      </c>
    </row>
    <row r="883" spans="1:4" x14ac:dyDescent="0.35">
      <c r="A883">
        <v>51307570</v>
      </c>
      <c r="B883" t="s">
        <v>924</v>
      </c>
      <c r="C883">
        <v>4199</v>
      </c>
      <c r="D883" t="s">
        <v>1184</v>
      </c>
    </row>
    <row r="884" spans="1:4" x14ac:dyDescent="0.35">
      <c r="A884">
        <v>51307594</v>
      </c>
      <c r="B884" t="s">
        <v>925</v>
      </c>
      <c r="C884">
        <v>6199</v>
      </c>
      <c r="D884" t="s">
        <v>1186</v>
      </c>
    </row>
    <row r="885" spans="1:4" x14ac:dyDescent="0.35">
      <c r="A885">
        <v>51307607</v>
      </c>
      <c r="B885" t="s">
        <v>926</v>
      </c>
      <c r="C885">
        <v>5199</v>
      </c>
      <c r="D885" t="s">
        <v>1187</v>
      </c>
    </row>
    <row r="886" spans="1:4" x14ac:dyDescent="0.35">
      <c r="A886">
        <v>51307619</v>
      </c>
      <c r="B886" t="s">
        <v>927</v>
      </c>
      <c r="C886">
        <v>5199</v>
      </c>
      <c r="D886" t="s">
        <v>1188</v>
      </c>
    </row>
    <row r="887" spans="1:4" x14ac:dyDescent="0.35">
      <c r="A887">
        <v>51307621</v>
      </c>
      <c r="B887" t="s">
        <v>928</v>
      </c>
      <c r="C887">
        <v>5199</v>
      </c>
      <c r="D887" t="s">
        <v>1189</v>
      </c>
    </row>
    <row r="888" spans="1:4" x14ac:dyDescent="0.35">
      <c r="A888">
        <v>51307986</v>
      </c>
      <c r="B888" t="s">
        <v>929</v>
      </c>
      <c r="C888">
        <v>255</v>
      </c>
      <c r="D888" t="s">
        <v>1318</v>
      </c>
    </row>
    <row r="889" spans="1:4" x14ac:dyDescent="0.35">
      <c r="A889">
        <v>51308166</v>
      </c>
      <c r="B889" t="s">
        <v>930</v>
      </c>
      <c r="C889">
        <v>1599</v>
      </c>
      <c r="D889" t="s">
        <v>1324</v>
      </c>
    </row>
    <row r="890" spans="1:4" x14ac:dyDescent="0.35">
      <c r="A890">
        <v>51308180</v>
      </c>
      <c r="B890" t="s">
        <v>931</v>
      </c>
      <c r="C890">
        <v>2099</v>
      </c>
      <c r="D890" t="s">
        <v>1325</v>
      </c>
    </row>
    <row r="891" spans="1:4" x14ac:dyDescent="0.35">
      <c r="A891">
        <v>51308192</v>
      </c>
      <c r="B891" t="s">
        <v>932</v>
      </c>
      <c r="C891">
        <v>2599</v>
      </c>
      <c r="D891" t="s">
        <v>1327</v>
      </c>
    </row>
    <row r="892" spans="1:4" x14ac:dyDescent="0.35">
      <c r="A892">
        <v>51308229</v>
      </c>
      <c r="B892" t="s">
        <v>933</v>
      </c>
      <c r="C892">
        <v>3399</v>
      </c>
      <c r="D892" t="s">
        <v>1328</v>
      </c>
    </row>
    <row r="893" spans="1:4" x14ac:dyDescent="0.35">
      <c r="A893">
        <v>51314652</v>
      </c>
      <c r="B893" t="s">
        <v>308</v>
      </c>
      <c r="D893" t="s">
        <v>1318</v>
      </c>
    </row>
    <row r="894" spans="1:4" x14ac:dyDescent="0.35">
      <c r="A894">
        <v>51314765</v>
      </c>
      <c r="B894" t="s">
        <v>934</v>
      </c>
      <c r="C894">
        <v>200</v>
      </c>
      <c r="D894" t="s">
        <v>1318</v>
      </c>
    </row>
    <row r="895" spans="1:4" x14ac:dyDescent="0.35">
      <c r="A895">
        <v>51316187</v>
      </c>
      <c r="B895" t="s">
        <v>935</v>
      </c>
      <c r="C895">
        <v>250</v>
      </c>
      <c r="D895" t="s">
        <v>1318</v>
      </c>
    </row>
    <row r="896" spans="1:4" x14ac:dyDescent="0.35">
      <c r="A896">
        <v>51317658</v>
      </c>
      <c r="B896" t="s">
        <v>308</v>
      </c>
      <c r="D896" t="s">
        <v>1318</v>
      </c>
    </row>
    <row r="897" spans="1:4" x14ac:dyDescent="0.35">
      <c r="A897">
        <v>51318600</v>
      </c>
      <c r="B897" t="s">
        <v>936</v>
      </c>
      <c r="C897">
        <v>899</v>
      </c>
      <c r="D897" t="s">
        <v>1319</v>
      </c>
    </row>
    <row r="898" spans="1:4" x14ac:dyDescent="0.35">
      <c r="A898">
        <v>51319955</v>
      </c>
      <c r="B898" t="s">
        <v>308</v>
      </c>
      <c r="D898" t="s">
        <v>1318</v>
      </c>
    </row>
    <row r="899" spans="1:4" x14ac:dyDescent="0.35">
      <c r="A899">
        <v>51322267</v>
      </c>
      <c r="B899" t="s">
        <v>935</v>
      </c>
      <c r="C899">
        <v>200</v>
      </c>
      <c r="D899" t="s">
        <v>1318</v>
      </c>
    </row>
    <row r="900" spans="1:4" x14ac:dyDescent="0.35">
      <c r="A900">
        <v>51329273</v>
      </c>
      <c r="B900" t="s">
        <v>935</v>
      </c>
      <c r="C900">
        <v>200</v>
      </c>
      <c r="D900" t="s">
        <v>1318</v>
      </c>
    </row>
    <row r="901" spans="1:4" x14ac:dyDescent="0.35">
      <c r="A901">
        <v>51332357</v>
      </c>
      <c r="B901" t="s">
        <v>308</v>
      </c>
      <c r="D901" t="s">
        <v>1318</v>
      </c>
    </row>
    <row r="902" spans="1:4" x14ac:dyDescent="0.35">
      <c r="A902">
        <v>51337054</v>
      </c>
      <c r="B902" t="s">
        <v>937</v>
      </c>
      <c r="C902">
        <v>1549</v>
      </c>
      <c r="D902" t="s">
        <v>1238</v>
      </c>
    </row>
    <row r="903" spans="1:4" x14ac:dyDescent="0.35">
      <c r="A903">
        <v>51337066</v>
      </c>
      <c r="B903" t="s">
        <v>938</v>
      </c>
      <c r="C903">
        <v>1949</v>
      </c>
      <c r="D903" t="s">
        <v>1239</v>
      </c>
    </row>
    <row r="904" spans="1:4" x14ac:dyDescent="0.35">
      <c r="A904">
        <v>51337078</v>
      </c>
      <c r="B904" t="s">
        <v>939</v>
      </c>
      <c r="C904">
        <v>1949</v>
      </c>
      <c r="D904" t="s">
        <v>1240</v>
      </c>
    </row>
    <row r="905" spans="1:4" x14ac:dyDescent="0.35">
      <c r="A905">
        <v>51337080</v>
      </c>
      <c r="B905" t="s">
        <v>940</v>
      </c>
      <c r="C905">
        <v>2249</v>
      </c>
      <c r="D905" t="s">
        <v>1241</v>
      </c>
    </row>
    <row r="906" spans="1:4" x14ac:dyDescent="0.35">
      <c r="A906">
        <v>51337092</v>
      </c>
      <c r="B906" t="s">
        <v>941</v>
      </c>
      <c r="C906">
        <v>2249</v>
      </c>
      <c r="D906" t="s">
        <v>1242</v>
      </c>
    </row>
    <row r="907" spans="1:4" x14ac:dyDescent="0.35">
      <c r="A907">
        <v>51337117</v>
      </c>
      <c r="B907" t="s">
        <v>942</v>
      </c>
      <c r="C907">
        <v>2249</v>
      </c>
      <c r="D907" t="s">
        <v>1243</v>
      </c>
    </row>
    <row r="908" spans="1:4" x14ac:dyDescent="0.35">
      <c r="A908">
        <v>51337129</v>
      </c>
      <c r="B908" t="s">
        <v>943</v>
      </c>
      <c r="C908">
        <v>2549</v>
      </c>
      <c r="D908" t="s">
        <v>1244</v>
      </c>
    </row>
    <row r="909" spans="1:4" x14ac:dyDescent="0.35">
      <c r="A909">
        <v>51337131</v>
      </c>
      <c r="B909" t="s">
        <v>944</v>
      </c>
      <c r="C909">
        <v>2549</v>
      </c>
      <c r="D909" t="s">
        <v>1245</v>
      </c>
    </row>
    <row r="910" spans="1:4" x14ac:dyDescent="0.35">
      <c r="A910">
        <v>51337143</v>
      </c>
      <c r="B910" t="s">
        <v>945</v>
      </c>
      <c r="C910">
        <v>2549</v>
      </c>
      <c r="D910" t="s">
        <v>1246</v>
      </c>
    </row>
    <row r="911" spans="1:4" x14ac:dyDescent="0.35">
      <c r="A911">
        <v>51337167</v>
      </c>
      <c r="B911" t="s">
        <v>946</v>
      </c>
      <c r="C911">
        <v>2749</v>
      </c>
      <c r="D911" t="s">
        <v>1248</v>
      </c>
    </row>
    <row r="912" spans="1:4" x14ac:dyDescent="0.35">
      <c r="A912">
        <v>51337179</v>
      </c>
      <c r="B912" t="s">
        <v>947</v>
      </c>
      <c r="C912">
        <v>3249</v>
      </c>
      <c r="D912" t="s">
        <v>1249</v>
      </c>
    </row>
    <row r="913" spans="1:4" x14ac:dyDescent="0.35">
      <c r="A913">
        <v>51337181</v>
      </c>
      <c r="B913" t="s">
        <v>948</v>
      </c>
      <c r="C913">
        <v>3249</v>
      </c>
      <c r="D913" t="s">
        <v>1250</v>
      </c>
    </row>
    <row r="914" spans="1:4" x14ac:dyDescent="0.35">
      <c r="A914">
        <v>51337193</v>
      </c>
      <c r="B914" t="s">
        <v>949</v>
      </c>
      <c r="C914">
        <v>3249</v>
      </c>
      <c r="D914" t="s">
        <v>1251</v>
      </c>
    </row>
    <row r="915" spans="1:4" x14ac:dyDescent="0.35">
      <c r="A915">
        <v>51337206</v>
      </c>
      <c r="B915" t="s">
        <v>950</v>
      </c>
      <c r="C915">
        <v>3649</v>
      </c>
      <c r="D915" t="s">
        <v>1252</v>
      </c>
    </row>
    <row r="916" spans="1:4" x14ac:dyDescent="0.35">
      <c r="A916">
        <v>51337218</v>
      </c>
      <c r="B916" t="s">
        <v>951</v>
      </c>
      <c r="C916">
        <v>3649</v>
      </c>
      <c r="D916" t="s">
        <v>1253</v>
      </c>
    </row>
    <row r="917" spans="1:4" x14ac:dyDescent="0.35">
      <c r="A917">
        <v>51337220</v>
      </c>
      <c r="B917" t="s">
        <v>952</v>
      </c>
      <c r="C917">
        <v>3649</v>
      </c>
      <c r="D917" t="s">
        <v>1254</v>
      </c>
    </row>
    <row r="918" spans="1:4" x14ac:dyDescent="0.35">
      <c r="A918">
        <v>51337232</v>
      </c>
      <c r="B918" t="s">
        <v>953</v>
      </c>
      <c r="C918">
        <v>4649</v>
      </c>
      <c r="D918" t="s">
        <v>1255</v>
      </c>
    </row>
    <row r="919" spans="1:4" x14ac:dyDescent="0.35">
      <c r="A919">
        <v>51337256</v>
      </c>
      <c r="B919" t="s">
        <v>954</v>
      </c>
      <c r="C919">
        <v>4649</v>
      </c>
      <c r="D919" t="s">
        <v>1256</v>
      </c>
    </row>
    <row r="920" spans="1:4" x14ac:dyDescent="0.35">
      <c r="A920">
        <v>51337268</v>
      </c>
      <c r="B920" t="s">
        <v>955</v>
      </c>
      <c r="C920">
        <v>4649</v>
      </c>
      <c r="D920" t="s">
        <v>1257</v>
      </c>
    </row>
    <row r="921" spans="1:4" x14ac:dyDescent="0.35">
      <c r="A921">
        <v>51337802</v>
      </c>
      <c r="B921" t="s">
        <v>956</v>
      </c>
      <c r="C921">
        <v>250</v>
      </c>
      <c r="D921" t="s">
        <v>1318</v>
      </c>
    </row>
    <row r="922" spans="1:4" x14ac:dyDescent="0.35">
      <c r="A922">
        <v>51348033</v>
      </c>
      <c r="B922" t="s">
        <v>957</v>
      </c>
      <c r="C922">
        <v>2099</v>
      </c>
      <c r="D922" t="s">
        <v>1270</v>
      </c>
    </row>
    <row r="923" spans="1:4" x14ac:dyDescent="0.35">
      <c r="A923">
        <v>51348110</v>
      </c>
      <c r="B923" t="s">
        <v>958</v>
      </c>
      <c r="C923">
        <v>3399</v>
      </c>
      <c r="D923" t="s">
        <v>1277</v>
      </c>
    </row>
    <row r="924" spans="1:4" x14ac:dyDescent="0.35">
      <c r="A924">
        <v>51348502</v>
      </c>
      <c r="B924" t="s">
        <v>959</v>
      </c>
      <c r="C924">
        <v>240</v>
      </c>
      <c r="D924" t="s">
        <v>1318</v>
      </c>
    </row>
    <row r="925" spans="1:4" x14ac:dyDescent="0.35">
      <c r="A925">
        <v>51349554</v>
      </c>
      <c r="B925" t="s">
        <v>308</v>
      </c>
      <c r="D925" t="s">
        <v>1318</v>
      </c>
    </row>
    <row r="926" spans="1:4" x14ac:dyDescent="0.35">
      <c r="A926">
        <v>51399042</v>
      </c>
      <c r="B926" t="s">
        <v>308</v>
      </c>
      <c r="D926" t="s">
        <v>1318</v>
      </c>
    </row>
    <row r="927" spans="1:4" x14ac:dyDescent="0.35">
      <c r="A927">
        <v>51399143</v>
      </c>
      <c r="B927" t="s">
        <v>308</v>
      </c>
      <c r="D927" t="s">
        <v>1318</v>
      </c>
    </row>
    <row r="928" spans="1:4" x14ac:dyDescent="0.35">
      <c r="A928">
        <v>51399345</v>
      </c>
      <c r="B928" t="s">
        <v>308</v>
      </c>
      <c r="D928" t="s">
        <v>1318</v>
      </c>
    </row>
    <row r="929" spans="1:4" x14ac:dyDescent="0.35">
      <c r="A929">
        <v>51405554</v>
      </c>
      <c r="B929" t="s">
        <v>960</v>
      </c>
      <c r="C929">
        <v>250</v>
      </c>
      <c r="D929" t="s">
        <v>1318</v>
      </c>
    </row>
    <row r="930" spans="1:4" x14ac:dyDescent="0.35">
      <c r="A930">
        <v>51407988</v>
      </c>
      <c r="B930" t="s">
        <v>961</v>
      </c>
      <c r="C930">
        <v>380</v>
      </c>
      <c r="D930" t="s">
        <v>1318</v>
      </c>
    </row>
    <row r="931" spans="1:4" x14ac:dyDescent="0.35">
      <c r="A931">
        <v>51410973</v>
      </c>
      <c r="B931" t="s">
        <v>961</v>
      </c>
      <c r="C931">
        <v>250</v>
      </c>
      <c r="D931" t="s">
        <v>1318</v>
      </c>
    </row>
    <row r="932" spans="1:4" x14ac:dyDescent="0.35">
      <c r="A932">
        <v>51411088</v>
      </c>
      <c r="B932" t="s">
        <v>961</v>
      </c>
      <c r="C932">
        <v>250</v>
      </c>
      <c r="D932" t="s">
        <v>1318</v>
      </c>
    </row>
    <row r="933" spans="1:4" x14ac:dyDescent="0.35">
      <c r="A933">
        <v>51411521</v>
      </c>
      <c r="B933" t="s">
        <v>961</v>
      </c>
      <c r="C933">
        <v>250</v>
      </c>
      <c r="D933" t="s">
        <v>1318</v>
      </c>
    </row>
    <row r="934" spans="1:4" x14ac:dyDescent="0.35">
      <c r="A934">
        <v>51412117</v>
      </c>
      <c r="B934" t="s">
        <v>962</v>
      </c>
      <c r="C934">
        <v>250</v>
      </c>
      <c r="D934" t="s">
        <v>1318</v>
      </c>
    </row>
    <row r="935" spans="1:4" x14ac:dyDescent="0.35">
      <c r="A935">
        <v>51414767</v>
      </c>
      <c r="B935" t="s">
        <v>961</v>
      </c>
      <c r="C935">
        <v>250</v>
      </c>
      <c r="D935" t="s">
        <v>1318</v>
      </c>
    </row>
    <row r="936" spans="1:4" x14ac:dyDescent="0.35">
      <c r="A936">
        <v>51415606</v>
      </c>
      <c r="B936" t="s">
        <v>961</v>
      </c>
      <c r="C936">
        <v>250</v>
      </c>
      <c r="D936" t="s">
        <v>1318</v>
      </c>
    </row>
    <row r="937" spans="1:4" x14ac:dyDescent="0.35">
      <c r="A937">
        <v>51416189</v>
      </c>
      <c r="B937" t="s">
        <v>961</v>
      </c>
      <c r="C937">
        <v>250</v>
      </c>
      <c r="D937" t="s">
        <v>1318</v>
      </c>
    </row>
    <row r="938" spans="1:4" x14ac:dyDescent="0.35">
      <c r="A938">
        <v>51422269</v>
      </c>
      <c r="B938" t="s">
        <v>961</v>
      </c>
      <c r="C938">
        <v>250</v>
      </c>
      <c r="D938" t="s">
        <v>1318</v>
      </c>
    </row>
    <row r="939" spans="1:4" x14ac:dyDescent="0.35">
      <c r="A939">
        <v>51429275</v>
      </c>
      <c r="B939" t="s">
        <v>961</v>
      </c>
      <c r="C939">
        <v>250</v>
      </c>
      <c r="D939" t="s">
        <v>1318</v>
      </c>
    </row>
    <row r="940" spans="1:4" x14ac:dyDescent="0.35">
      <c r="A940">
        <v>51437804</v>
      </c>
      <c r="B940" t="s">
        <v>963</v>
      </c>
      <c r="C940">
        <v>300</v>
      </c>
      <c r="D940" t="s">
        <v>1318</v>
      </c>
    </row>
    <row r="941" spans="1:4" x14ac:dyDescent="0.35">
      <c r="A941">
        <v>51448504</v>
      </c>
      <c r="B941" t="s">
        <v>964</v>
      </c>
      <c r="C941">
        <v>315</v>
      </c>
      <c r="D941" t="s">
        <v>1318</v>
      </c>
    </row>
    <row r="942" spans="1:4" x14ac:dyDescent="0.35">
      <c r="A942">
        <v>51452630</v>
      </c>
      <c r="B942" t="s">
        <v>961</v>
      </c>
      <c r="C942">
        <v>250</v>
      </c>
      <c r="D942" t="s">
        <v>1318</v>
      </c>
    </row>
    <row r="943" spans="1:4" x14ac:dyDescent="0.35">
      <c r="A943">
        <v>51483471</v>
      </c>
      <c r="B943" t="s">
        <v>965</v>
      </c>
      <c r="C943">
        <v>250</v>
      </c>
      <c r="D943" t="s">
        <v>1318</v>
      </c>
    </row>
    <row r="944" spans="1:4" x14ac:dyDescent="0.35">
      <c r="A944">
        <v>51507904</v>
      </c>
      <c r="B944" t="s">
        <v>308</v>
      </c>
      <c r="D944" t="s">
        <v>1318</v>
      </c>
    </row>
    <row r="945" spans="1:4" x14ac:dyDescent="0.35">
      <c r="A945">
        <v>51507980</v>
      </c>
      <c r="B945" t="s">
        <v>966</v>
      </c>
      <c r="C945">
        <v>255</v>
      </c>
      <c r="D945" t="s">
        <v>1318</v>
      </c>
    </row>
    <row r="946" spans="1:4" x14ac:dyDescent="0.35">
      <c r="A946">
        <v>51508160</v>
      </c>
      <c r="B946" t="s">
        <v>967</v>
      </c>
      <c r="C946">
        <v>2399</v>
      </c>
      <c r="D946" t="s">
        <v>1324</v>
      </c>
    </row>
    <row r="947" spans="1:4" x14ac:dyDescent="0.35">
      <c r="A947">
        <v>51508184</v>
      </c>
      <c r="B947" t="s">
        <v>968</v>
      </c>
      <c r="C947">
        <v>2899</v>
      </c>
      <c r="D947" t="s">
        <v>1325</v>
      </c>
    </row>
    <row r="948" spans="1:4" x14ac:dyDescent="0.35">
      <c r="A948">
        <v>51508196</v>
      </c>
      <c r="B948" t="s">
        <v>969</v>
      </c>
      <c r="C948">
        <v>3399</v>
      </c>
      <c r="D948" t="s">
        <v>1327</v>
      </c>
    </row>
    <row r="949" spans="1:4" x14ac:dyDescent="0.35">
      <c r="A949">
        <v>51515608</v>
      </c>
      <c r="B949" t="s">
        <v>970</v>
      </c>
      <c r="C949">
        <v>200</v>
      </c>
      <c r="D949" t="s">
        <v>1318</v>
      </c>
    </row>
    <row r="950" spans="1:4" x14ac:dyDescent="0.35">
      <c r="A950">
        <v>51516181</v>
      </c>
      <c r="B950" t="s">
        <v>970</v>
      </c>
      <c r="C950">
        <v>250</v>
      </c>
      <c r="D950" t="s">
        <v>1318</v>
      </c>
    </row>
    <row r="951" spans="1:4" x14ac:dyDescent="0.35">
      <c r="A951">
        <v>51518604</v>
      </c>
      <c r="B951" t="s">
        <v>971</v>
      </c>
      <c r="C951">
        <v>1499</v>
      </c>
      <c r="D951" t="s">
        <v>1319</v>
      </c>
    </row>
    <row r="952" spans="1:4" x14ac:dyDescent="0.35">
      <c r="A952">
        <v>51522261</v>
      </c>
      <c r="B952" t="s">
        <v>973</v>
      </c>
      <c r="C952">
        <v>200</v>
      </c>
      <c r="D952" t="s">
        <v>1318</v>
      </c>
    </row>
    <row r="953" spans="1:4" x14ac:dyDescent="0.35">
      <c r="A953">
        <v>51529277</v>
      </c>
      <c r="B953" t="s">
        <v>973</v>
      </c>
      <c r="C953">
        <v>200</v>
      </c>
      <c r="D953" t="s">
        <v>1318</v>
      </c>
    </row>
    <row r="954" spans="1:4" x14ac:dyDescent="0.35">
      <c r="A954">
        <v>51537806</v>
      </c>
      <c r="B954" t="s">
        <v>974</v>
      </c>
      <c r="C954">
        <v>250</v>
      </c>
      <c r="D954" t="s">
        <v>1318</v>
      </c>
    </row>
    <row r="955" spans="1:4" x14ac:dyDescent="0.35">
      <c r="A955">
        <v>51548506</v>
      </c>
      <c r="B955" t="s">
        <v>975</v>
      </c>
      <c r="C955">
        <v>240</v>
      </c>
      <c r="D955" t="s">
        <v>1318</v>
      </c>
    </row>
    <row r="956" spans="1:4" x14ac:dyDescent="0.35">
      <c r="A956">
        <v>51599349</v>
      </c>
      <c r="B956" t="s">
        <v>308</v>
      </c>
      <c r="D956" t="s">
        <v>1318</v>
      </c>
    </row>
    <row r="957" spans="1:4" x14ac:dyDescent="0.35">
      <c r="A957">
        <v>51707605</v>
      </c>
      <c r="B957" t="s">
        <v>976</v>
      </c>
      <c r="C957">
        <v>10398</v>
      </c>
      <c r="D957" t="s">
        <v>1187</v>
      </c>
    </row>
    <row r="958" spans="1:4" x14ac:dyDescent="0.35">
      <c r="A958">
        <v>51707617</v>
      </c>
      <c r="B958" t="s">
        <v>977</v>
      </c>
      <c r="C958">
        <v>10398</v>
      </c>
      <c r="D958" t="s">
        <v>1188</v>
      </c>
    </row>
    <row r="959" spans="1:4" x14ac:dyDescent="0.35">
      <c r="A959">
        <v>51707629</v>
      </c>
      <c r="B959" t="s">
        <v>978</v>
      </c>
      <c r="C959">
        <v>10398</v>
      </c>
      <c r="D959" t="s">
        <v>1189</v>
      </c>
    </row>
    <row r="960" spans="1:4" x14ac:dyDescent="0.35">
      <c r="A960">
        <v>51807986</v>
      </c>
      <c r="B960" t="s">
        <v>979</v>
      </c>
      <c r="C960">
        <v>255</v>
      </c>
      <c r="D960" t="s">
        <v>1318</v>
      </c>
    </row>
    <row r="961" spans="1:4" x14ac:dyDescent="0.35">
      <c r="A961">
        <v>53390008</v>
      </c>
      <c r="B961" t="s">
        <v>980</v>
      </c>
      <c r="C961">
        <v>12.99</v>
      </c>
      <c r="D961" t="s">
        <v>1340</v>
      </c>
    </row>
    <row r="962" spans="1:4" x14ac:dyDescent="0.35">
      <c r="A962">
        <v>59480005</v>
      </c>
      <c r="B962" t="s">
        <v>981</v>
      </c>
      <c r="C962">
        <v>9.99</v>
      </c>
      <c r="D962" t="s">
        <v>1340</v>
      </c>
    </row>
    <row r="963" spans="1:4" x14ac:dyDescent="0.35">
      <c r="A963">
        <v>59900160</v>
      </c>
      <c r="B963" t="s">
        <v>982</v>
      </c>
      <c r="C963">
        <v>199.99</v>
      </c>
      <c r="D963" t="s">
        <v>1341</v>
      </c>
    </row>
    <row r="964" spans="1:4" x14ac:dyDescent="0.35">
      <c r="A964">
        <v>59900172</v>
      </c>
      <c r="B964" t="s">
        <v>984</v>
      </c>
      <c r="C964">
        <v>249.99</v>
      </c>
      <c r="D964" t="s">
        <v>1341</v>
      </c>
    </row>
    <row r="965" spans="1:4" x14ac:dyDescent="0.35">
      <c r="A965">
        <v>59900401</v>
      </c>
      <c r="B965" t="s">
        <v>985</v>
      </c>
      <c r="C965">
        <v>52</v>
      </c>
      <c r="D965" t="s">
        <v>1342</v>
      </c>
    </row>
    <row r="966" spans="1:4" x14ac:dyDescent="0.35">
      <c r="A966">
        <v>59905716</v>
      </c>
      <c r="B966" t="s">
        <v>986</v>
      </c>
      <c r="C966">
        <v>149.99</v>
      </c>
      <c r="D966" t="s">
        <v>1343</v>
      </c>
    </row>
    <row r="967" spans="1:4" x14ac:dyDescent="0.35">
      <c r="A967">
        <v>59905728</v>
      </c>
      <c r="B967" t="s">
        <v>987</v>
      </c>
      <c r="C967">
        <v>149.99</v>
      </c>
      <c r="D967" t="s">
        <v>1343</v>
      </c>
    </row>
    <row r="968" spans="1:4" x14ac:dyDescent="0.35">
      <c r="A968">
        <v>59905730</v>
      </c>
      <c r="B968" t="s">
        <v>988</v>
      </c>
      <c r="C968">
        <v>149.99</v>
      </c>
      <c r="D968" t="s">
        <v>1343</v>
      </c>
    </row>
    <row r="969" spans="1:4" x14ac:dyDescent="0.35">
      <c r="A969">
        <v>59905742</v>
      </c>
      <c r="B969" t="s">
        <v>989</v>
      </c>
      <c r="C969">
        <v>149.99</v>
      </c>
      <c r="D969" t="s">
        <v>1343</v>
      </c>
    </row>
    <row r="970" spans="1:4" x14ac:dyDescent="0.35">
      <c r="A970">
        <v>59905754</v>
      </c>
      <c r="B970" t="s">
        <v>990</v>
      </c>
      <c r="C970">
        <v>199.99</v>
      </c>
      <c r="D970" t="s">
        <v>1343</v>
      </c>
    </row>
    <row r="971" spans="1:4" x14ac:dyDescent="0.35">
      <c r="A971">
        <v>59905766</v>
      </c>
      <c r="B971" t="s">
        <v>991</v>
      </c>
      <c r="C971">
        <v>199.99</v>
      </c>
      <c r="D971" t="s">
        <v>1343</v>
      </c>
    </row>
    <row r="972" spans="1:4" x14ac:dyDescent="0.35">
      <c r="A972">
        <v>59905778</v>
      </c>
      <c r="B972" t="s">
        <v>992</v>
      </c>
      <c r="C972">
        <v>199.99</v>
      </c>
      <c r="D972" t="s">
        <v>1343</v>
      </c>
    </row>
    <row r="973" spans="1:4" x14ac:dyDescent="0.35">
      <c r="A973">
        <v>59905780</v>
      </c>
      <c r="B973" t="s">
        <v>993</v>
      </c>
      <c r="C973">
        <v>199.99</v>
      </c>
      <c r="D973" t="s">
        <v>1343</v>
      </c>
    </row>
    <row r="974" spans="1:4" x14ac:dyDescent="0.35">
      <c r="A974">
        <v>59906314</v>
      </c>
      <c r="B974" t="s">
        <v>994</v>
      </c>
      <c r="C974">
        <v>199.99</v>
      </c>
      <c r="D974" t="s">
        <v>1344</v>
      </c>
    </row>
    <row r="975" spans="1:4" x14ac:dyDescent="0.35">
      <c r="A975">
        <v>59906326</v>
      </c>
      <c r="B975" t="s">
        <v>996</v>
      </c>
      <c r="C975">
        <v>199.99</v>
      </c>
      <c r="D975" t="s">
        <v>1344</v>
      </c>
    </row>
    <row r="976" spans="1:4" x14ac:dyDescent="0.35">
      <c r="A976">
        <v>59906338</v>
      </c>
      <c r="B976" t="s">
        <v>997</v>
      </c>
      <c r="C976">
        <v>199.99</v>
      </c>
      <c r="D976" t="s">
        <v>1344</v>
      </c>
    </row>
    <row r="977" spans="1:4" x14ac:dyDescent="0.35">
      <c r="A977">
        <v>59906340</v>
      </c>
      <c r="B977" t="s">
        <v>998</v>
      </c>
      <c r="C977">
        <v>199.99</v>
      </c>
      <c r="D977" t="s">
        <v>1344</v>
      </c>
    </row>
    <row r="978" spans="1:4" x14ac:dyDescent="0.35">
      <c r="A978">
        <v>59906352</v>
      </c>
      <c r="B978" t="s">
        <v>999</v>
      </c>
      <c r="C978">
        <v>259.99</v>
      </c>
      <c r="D978" t="s">
        <v>1344</v>
      </c>
    </row>
    <row r="979" spans="1:4" x14ac:dyDescent="0.35">
      <c r="A979">
        <v>59906364</v>
      </c>
      <c r="B979" t="s">
        <v>1001</v>
      </c>
      <c r="C979">
        <v>259.99</v>
      </c>
      <c r="D979" t="s">
        <v>1344</v>
      </c>
    </row>
    <row r="980" spans="1:4" x14ac:dyDescent="0.35">
      <c r="A980">
        <v>59906376</v>
      </c>
      <c r="B980" t="s">
        <v>1002</v>
      </c>
      <c r="C980">
        <v>259.99</v>
      </c>
      <c r="D980" t="s">
        <v>1344</v>
      </c>
    </row>
    <row r="981" spans="1:4" x14ac:dyDescent="0.35">
      <c r="A981">
        <v>59906388</v>
      </c>
      <c r="B981" t="s">
        <v>1003</v>
      </c>
      <c r="C981">
        <v>259.99</v>
      </c>
      <c r="D981" t="s">
        <v>1344</v>
      </c>
    </row>
    <row r="982" spans="1:4" x14ac:dyDescent="0.35">
      <c r="A982">
        <v>59907102</v>
      </c>
      <c r="B982" t="s">
        <v>1004</v>
      </c>
      <c r="C982">
        <v>299.99</v>
      </c>
      <c r="D982" t="s">
        <v>1345</v>
      </c>
    </row>
    <row r="983" spans="1:4" x14ac:dyDescent="0.35">
      <c r="A983">
        <v>59907114</v>
      </c>
      <c r="B983" t="s">
        <v>1005</v>
      </c>
      <c r="C983">
        <v>299.99</v>
      </c>
      <c r="D983" t="s">
        <v>1345</v>
      </c>
    </row>
    <row r="984" spans="1:4" x14ac:dyDescent="0.35">
      <c r="A984">
        <v>59907126</v>
      </c>
      <c r="B984" t="s">
        <v>1006</v>
      </c>
      <c r="C984">
        <v>299.99</v>
      </c>
      <c r="D984" t="s">
        <v>1345</v>
      </c>
    </row>
    <row r="985" spans="1:4" x14ac:dyDescent="0.35">
      <c r="A985">
        <v>59907138</v>
      </c>
      <c r="B985" t="s">
        <v>1007</v>
      </c>
      <c r="C985">
        <v>299.99</v>
      </c>
      <c r="D985" t="s">
        <v>1345</v>
      </c>
    </row>
    <row r="986" spans="1:4" x14ac:dyDescent="0.35">
      <c r="A986">
        <v>59907140</v>
      </c>
      <c r="B986" t="s">
        <v>1008</v>
      </c>
      <c r="C986">
        <v>349.99</v>
      </c>
      <c r="D986" t="s">
        <v>1345</v>
      </c>
    </row>
    <row r="987" spans="1:4" x14ac:dyDescent="0.35">
      <c r="A987">
        <v>59907152</v>
      </c>
      <c r="B987" t="s">
        <v>1009</v>
      </c>
      <c r="C987">
        <v>349.99</v>
      </c>
      <c r="D987" t="s">
        <v>1345</v>
      </c>
    </row>
    <row r="988" spans="1:4" x14ac:dyDescent="0.35">
      <c r="A988">
        <v>59907164</v>
      </c>
      <c r="B988" t="s">
        <v>1010</v>
      </c>
      <c r="C988">
        <v>349.99</v>
      </c>
      <c r="D988" t="s">
        <v>1345</v>
      </c>
    </row>
    <row r="989" spans="1:4" x14ac:dyDescent="0.35">
      <c r="A989">
        <v>59907176</v>
      </c>
      <c r="B989" t="s">
        <v>1011</v>
      </c>
      <c r="C989">
        <v>349.99</v>
      </c>
      <c r="D989" t="s">
        <v>1345</v>
      </c>
    </row>
    <row r="990" spans="1:4" x14ac:dyDescent="0.35">
      <c r="A990">
        <v>59909500</v>
      </c>
      <c r="B990" t="s">
        <v>1012</v>
      </c>
      <c r="C990">
        <v>19.989999999999998</v>
      </c>
      <c r="D990" t="s">
        <v>1340</v>
      </c>
    </row>
    <row r="991" spans="1:4" x14ac:dyDescent="0.35">
      <c r="A991">
        <v>59910008</v>
      </c>
      <c r="B991" t="s">
        <v>1013</v>
      </c>
      <c r="C991">
        <v>185</v>
      </c>
      <c r="D991" t="s">
        <v>1346</v>
      </c>
    </row>
    <row r="992" spans="1:4" x14ac:dyDescent="0.35">
      <c r="A992">
        <v>59910010</v>
      </c>
      <c r="B992" t="s">
        <v>1014</v>
      </c>
      <c r="C992">
        <v>200</v>
      </c>
      <c r="D992" t="s">
        <v>1346</v>
      </c>
    </row>
    <row r="993" spans="1:4" x14ac:dyDescent="0.35">
      <c r="A993">
        <v>59910022</v>
      </c>
      <c r="B993" t="s">
        <v>1015</v>
      </c>
      <c r="C993">
        <v>230</v>
      </c>
      <c r="D993" t="s">
        <v>1346</v>
      </c>
    </row>
    <row r="994" spans="1:4" x14ac:dyDescent="0.35">
      <c r="A994">
        <v>59910034</v>
      </c>
      <c r="B994" t="s">
        <v>1016</v>
      </c>
      <c r="C994">
        <v>250</v>
      </c>
      <c r="D994" t="s">
        <v>1346</v>
      </c>
    </row>
    <row r="995" spans="1:4" x14ac:dyDescent="0.35">
      <c r="A995">
        <v>59910046</v>
      </c>
      <c r="B995" t="s">
        <v>1017</v>
      </c>
      <c r="C995">
        <v>305</v>
      </c>
      <c r="D995" t="s">
        <v>1346</v>
      </c>
    </row>
    <row r="996" spans="1:4" x14ac:dyDescent="0.35">
      <c r="A996">
        <v>59910058</v>
      </c>
      <c r="B996" t="s">
        <v>1018</v>
      </c>
      <c r="C996">
        <v>305</v>
      </c>
      <c r="D996" t="s">
        <v>1346</v>
      </c>
    </row>
    <row r="997" spans="1:4" x14ac:dyDescent="0.35">
      <c r="A997">
        <v>59911036</v>
      </c>
      <c r="B997" t="s">
        <v>1019</v>
      </c>
      <c r="C997">
        <v>229.99</v>
      </c>
      <c r="D997" t="s">
        <v>1347</v>
      </c>
    </row>
    <row r="998" spans="1:4" x14ac:dyDescent="0.35">
      <c r="A998">
        <v>59911048</v>
      </c>
      <c r="B998" t="s">
        <v>1021</v>
      </c>
      <c r="C998">
        <v>229.99</v>
      </c>
      <c r="D998" t="s">
        <v>1347</v>
      </c>
    </row>
    <row r="999" spans="1:4" x14ac:dyDescent="0.35">
      <c r="A999">
        <v>59911101</v>
      </c>
      <c r="B999" t="s">
        <v>1023</v>
      </c>
      <c r="C999">
        <v>199.99</v>
      </c>
      <c r="D999" t="s">
        <v>1347</v>
      </c>
    </row>
    <row r="1000" spans="1:4" x14ac:dyDescent="0.35">
      <c r="A1000">
        <v>59911113</v>
      </c>
      <c r="B1000" t="s">
        <v>1026</v>
      </c>
      <c r="C1000">
        <v>279.99</v>
      </c>
      <c r="D1000" t="s">
        <v>1347</v>
      </c>
    </row>
    <row r="1001" spans="1:4" x14ac:dyDescent="0.35">
      <c r="A1001">
        <v>59911125</v>
      </c>
      <c r="B1001" t="s">
        <v>1029</v>
      </c>
      <c r="C1001">
        <v>279.99</v>
      </c>
      <c r="D1001" t="s">
        <v>1347</v>
      </c>
    </row>
    <row r="1002" spans="1:4" x14ac:dyDescent="0.35">
      <c r="A1002">
        <v>59912103</v>
      </c>
      <c r="B1002" t="s">
        <v>1023</v>
      </c>
      <c r="C1002">
        <v>199.99</v>
      </c>
      <c r="D1002" t="s">
        <v>1347</v>
      </c>
    </row>
    <row r="1003" spans="1:4" x14ac:dyDescent="0.35">
      <c r="A1003">
        <v>59912115</v>
      </c>
      <c r="B1003" t="s">
        <v>1019</v>
      </c>
      <c r="C1003">
        <v>229.99</v>
      </c>
      <c r="D1003" t="s">
        <v>1347</v>
      </c>
    </row>
    <row r="1004" spans="1:4" x14ac:dyDescent="0.35">
      <c r="A1004">
        <v>59912139</v>
      </c>
      <c r="B1004" t="s">
        <v>1021</v>
      </c>
      <c r="C1004">
        <v>229.99</v>
      </c>
      <c r="D1004" t="s">
        <v>1347</v>
      </c>
    </row>
    <row r="1005" spans="1:4" x14ac:dyDescent="0.35">
      <c r="A1005">
        <v>59912153</v>
      </c>
      <c r="B1005" t="s">
        <v>1026</v>
      </c>
      <c r="C1005">
        <v>249.99</v>
      </c>
      <c r="D1005" t="s">
        <v>1347</v>
      </c>
    </row>
    <row r="1006" spans="1:4" x14ac:dyDescent="0.35">
      <c r="A1006">
        <v>59912165</v>
      </c>
      <c r="B1006" t="s">
        <v>1029</v>
      </c>
      <c r="C1006">
        <v>279.99</v>
      </c>
      <c r="D1006" t="s">
        <v>1347</v>
      </c>
    </row>
    <row r="1007" spans="1:4" x14ac:dyDescent="0.35">
      <c r="A1007">
        <v>59913028</v>
      </c>
      <c r="B1007" t="s">
        <v>1019</v>
      </c>
      <c r="C1007">
        <v>229.99</v>
      </c>
      <c r="D1007" t="s">
        <v>1347</v>
      </c>
    </row>
    <row r="1008" spans="1:4" x14ac:dyDescent="0.35">
      <c r="A1008">
        <v>59913030</v>
      </c>
      <c r="B1008" t="s">
        <v>1021</v>
      </c>
      <c r="C1008">
        <v>229.99</v>
      </c>
      <c r="D1008" t="s">
        <v>1347</v>
      </c>
    </row>
    <row r="1009" spans="1:4" x14ac:dyDescent="0.35">
      <c r="A1009">
        <v>59913080</v>
      </c>
      <c r="B1009" t="s">
        <v>1036</v>
      </c>
      <c r="C1009">
        <v>59.99</v>
      </c>
      <c r="D1009" t="s">
        <v>1348</v>
      </c>
    </row>
    <row r="1010" spans="1:4" x14ac:dyDescent="0.35">
      <c r="A1010">
        <v>59913092</v>
      </c>
      <c r="B1010" t="s">
        <v>1038</v>
      </c>
      <c r="C1010">
        <v>64.989999999999995</v>
      </c>
      <c r="D1010" t="s">
        <v>1348</v>
      </c>
    </row>
    <row r="1011" spans="1:4" x14ac:dyDescent="0.35">
      <c r="A1011">
        <v>59913105</v>
      </c>
      <c r="B1011" t="s">
        <v>1040</v>
      </c>
      <c r="C1011">
        <v>199.99</v>
      </c>
      <c r="D1011" t="s">
        <v>1347</v>
      </c>
    </row>
    <row r="1012" spans="1:4" x14ac:dyDescent="0.35">
      <c r="A1012">
        <v>59913117</v>
      </c>
      <c r="B1012" t="s">
        <v>1042</v>
      </c>
      <c r="C1012">
        <v>279.99</v>
      </c>
      <c r="D1012" t="s">
        <v>1347</v>
      </c>
    </row>
    <row r="1013" spans="1:4" x14ac:dyDescent="0.35">
      <c r="A1013">
        <v>59913129</v>
      </c>
      <c r="B1013" t="s">
        <v>1044</v>
      </c>
      <c r="C1013">
        <v>279.99</v>
      </c>
      <c r="D1013" t="s">
        <v>1347</v>
      </c>
    </row>
    <row r="1014" spans="1:4" x14ac:dyDescent="0.35">
      <c r="A1014">
        <v>59913206</v>
      </c>
      <c r="B1014" t="s">
        <v>1046</v>
      </c>
      <c r="C1014">
        <v>149.99</v>
      </c>
      <c r="D1014" t="s">
        <v>1349</v>
      </c>
    </row>
    <row r="1015" spans="1:4" x14ac:dyDescent="0.35">
      <c r="A1015">
        <v>59913218</v>
      </c>
      <c r="B1015" t="s">
        <v>1048</v>
      </c>
      <c r="C1015">
        <v>159.99</v>
      </c>
      <c r="D1015" t="s">
        <v>1349</v>
      </c>
    </row>
    <row r="1016" spans="1:4" x14ac:dyDescent="0.35">
      <c r="A1016">
        <v>59913220</v>
      </c>
      <c r="B1016" t="s">
        <v>1049</v>
      </c>
      <c r="C1016">
        <v>179.99</v>
      </c>
      <c r="D1016" t="s">
        <v>1349</v>
      </c>
    </row>
    <row r="1017" spans="1:4" x14ac:dyDescent="0.35">
      <c r="A1017">
        <v>59913232</v>
      </c>
      <c r="B1017" t="s">
        <v>1050</v>
      </c>
      <c r="C1017">
        <v>199.99</v>
      </c>
      <c r="D1017" t="s">
        <v>1349</v>
      </c>
    </row>
    <row r="1018" spans="1:4" x14ac:dyDescent="0.35">
      <c r="A1018">
        <v>59913244</v>
      </c>
      <c r="B1018" t="s">
        <v>1051</v>
      </c>
      <c r="C1018">
        <v>229.99</v>
      </c>
      <c r="D1018" t="s">
        <v>1349</v>
      </c>
    </row>
    <row r="1019" spans="1:4" x14ac:dyDescent="0.35">
      <c r="A1019">
        <v>59913256</v>
      </c>
      <c r="B1019" t="s">
        <v>1052</v>
      </c>
      <c r="C1019">
        <v>229.99</v>
      </c>
      <c r="D1019" t="s">
        <v>1349</v>
      </c>
    </row>
    <row r="1020" spans="1:4" x14ac:dyDescent="0.35">
      <c r="A1020">
        <v>59913268</v>
      </c>
      <c r="B1020" t="s">
        <v>1053</v>
      </c>
      <c r="C1020">
        <v>249.99</v>
      </c>
      <c r="D1020" t="s">
        <v>1349</v>
      </c>
    </row>
    <row r="1021" spans="1:4" x14ac:dyDescent="0.35">
      <c r="A1021">
        <v>59913270</v>
      </c>
      <c r="B1021" t="s">
        <v>1054</v>
      </c>
      <c r="C1021">
        <v>249.99</v>
      </c>
      <c r="D1021" t="s">
        <v>1349</v>
      </c>
    </row>
    <row r="1022" spans="1:4" x14ac:dyDescent="0.35">
      <c r="A1022">
        <v>59913307</v>
      </c>
      <c r="B1022" t="s">
        <v>1046</v>
      </c>
      <c r="C1022">
        <v>149.99</v>
      </c>
      <c r="D1022" t="s">
        <v>1349</v>
      </c>
    </row>
    <row r="1023" spans="1:4" x14ac:dyDescent="0.35">
      <c r="A1023">
        <v>59913319</v>
      </c>
      <c r="B1023" t="s">
        <v>1048</v>
      </c>
      <c r="C1023">
        <v>159.99</v>
      </c>
      <c r="D1023" t="s">
        <v>1349</v>
      </c>
    </row>
    <row r="1024" spans="1:4" x14ac:dyDescent="0.35">
      <c r="A1024">
        <v>59913321</v>
      </c>
      <c r="B1024" t="s">
        <v>1049</v>
      </c>
      <c r="C1024">
        <v>179.99</v>
      </c>
      <c r="D1024" t="s">
        <v>1349</v>
      </c>
    </row>
    <row r="1025" spans="1:4" x14ac:dyDescent="0.35">
      <c r="A1025">
        <v>59913333</v>
      </c>
      <c r="B1025" t="s">
        <v>1050</v>
      </c>
      <c r="C1025">
        <v>199.99</v>
      </c>
      <c r="D1025" t="s">
        <v>1349</v>
      </c>
    </row>
    <row r="1026" spans="1:4" x14ac:dyDescent="0.35">
      <c r="A1026">
        <v>59913345</v>
      </c>
      <c r="B1026" t="s">
        <v>1051</v>
      </c>
      <c r="C1026">
        <v>229.99</v>
      </c>
      <c r="D1026" t="s">
        <v>1349</v>
      </c>
    </row>
    <row r="1027" spans="1:4" x14ac:dyDescent="0.35">
      <c r="A1027">
        <v>59913357</v>
      </c>
      <c r="B1027" t="s">
        <v>1052</v>
      </c>
      <c r="C1027">
        <v>229.99</v>
      </c>
      <c r="D1027" t="s">
        <v>1349</v>
      </c>
    </row>
    <row r="1028" spans="1:4" x14ac:dyDescent="0.35">
      <c r="A1028">
        <v>59913369</v>
      </c>
      <c r="B1028" t="s">
        <v>1053</v>
      </c>
      <c r="C1028">
        <v>249.99</v>
      </c>
      <c r="D1028" t="s">
        <v>1349</v>
      </c>
    </row>
    <row r="1029" spans="1:4" x14ac:dyDescent="0.35">
      <c r="A1029">
        <v>59913371</v>
      </c>
      <c r="B1029" t="s">
        <v>1054</v>
      </c>
      <c r="C1029">
        <v>249.99</v>
      </c>
      <c r="D1029" t="s">
        <v>1349</v>
      </c>
    </row>
    <row r="1030" spans="1:4" x14ac:dyDescent="0.35">
      <c r="A1030">
        <v>59913408</v>
      </c>
      <c r="B1030" t="s">
        <v>1046</v>
      </c>
      <c r="C1030">
        <v>149.99</v>
      </c>
      <c r="D1030" t="s">
        <v>1349</v>
      </c>
    </row>
    <row r="1031" spans="1:4" x14ac:dyDescent="0.35">
      <c r="A1031">
        <v>59913410</v>
      </c>
      <c r="B1031" t="s">
        <v>1048</v>
      </c>
      <c r="C1031">
        <v>159.99</v>
      </c>
      <c r="D1031" t="s">
        <v>1349</v>
      </c>
    </row>
    <row r="1032" spans="1:4" x14ac:dyDescent="0.35">
      <c r="A1032">
        <v>59913422</v>
      </c>
      <c r="B1032" t="s">
        <v>1049</v>
      </c>
      <c r="C1032">
        <v>179.99</v>
      </c>
      <c r="D1032" t="s">
        <v>1349</v>
      </c>
    </row>
    <row r="1033" spans="1:4" x14ac:dyDescent="0.35">
      <c r="A1033">
        <v>59913434</v>
      </c>
      <c r="B1033" t="s">
        <v>1050</v>
      </c>
      <c r="C1033">
        <v>199.99</v>
      </c>
      <c r="D1033" t="s">
        <v>1349</v>
      </c>
    </row>
    <row r="1034" spans="1:4" x14ac:dyDescent="0.35">
      <c r="A1034">
        <v>59913446</v>
      </c>
      <c r="B1034" t="s">
        <v>1051</v>
      </c>
      <c r="C1034">
        <v>229.99</v>
      </c>
      <c r="D1034" t="s">
        <v>1349</v>
      </c>
    </row>
    <row r="1035" spans="1:4" x14ac:dyDescent="0.35">
      <c r="A1035">
        <v>59913458</v>
      </c>
      <c r="B1035" t="s">
        <v>1052</v>
      </c>
      <c r="C1035">
        <v>229.99</v>
      </c>
      <c r="D1035" t="s">
        <v>1349</v>
      </c>
    </row>
    <row r="1036" spans="1:4" x14ac:dyDescent="0.35">
      <c r="A1036">
        <v>59913460</v>
      </c>
      <c r="B1036" t="s">
        <v>1053</v>
      </c>
      <c r="C1036">
        <v>249.99</v>
      </c>
      <c r="D1036" t="s">
        <v>1349</v>
      </c>
    </row>
    <row r="1037" spans="1:4" x14ac:dyDescent="0.35">
      <c r="A1037">
        <v>59913472</v>
      </c>
      <c r="B1037" t="s">
        <v>1054</v>
      </c>
      <c r="C1037">
        <v>249.99</v>
      </c>
      <c r="D1037" t="s">
        <v>1349</v>
      </c>
    </row>
    <row r="1038" spans="1:4" x14ac:dyDescent="0.35">
      <c r="A1038">
        <v>59913597</v>
      </c>
      <c r="B1038" t="s">
        <v>1056</v>
      </c>
      <c r="C1038">
        <v>299.99</v>
      </c>
      <c r="D1038" t="s">
        <v>1350</v>
      </c>
    </row>
    <row r="1039" spans="1:4" x14ac:dyDescent="0.35">
      <c r="A1039">
        <v>59913612</v>
      </c>
      <c r="B1039" t="s">
        <v>1058</v>
      </c>
      <c r="C1039">
        <v>39.99</v>
      </c>
      <c r="D1039" t="s">
        <v>1347</v>
      </c>
    </row>
    <row r="1040" spans="1:4" x14ac:dyDescent="0.35">
      <c r="A1040">
        <v>59913624</v>
      </c>
      <c r="B1040" t="s">
        <v>1058</v>
      </c>
      <c r="C1040">
        <v>39.99</v>
      </c>
      <c r="D1040" t="s">
        <v>1347</v>
      </c>
    </row>
    <row r="1041" spans="1:4" x14ac:dyDescent="0.35">
      <c r="A1041">
        <v>59913636</v>
      </c>
      <c r="B1041" t="s">
        <v>1058</v>
      </c>
      <c r="C1041">
        <v>39.99</v>
      </c>
      <c r="D1041" t="s">
        <v>1347</v>
      </c>
    </row>
    <row r="1042" spans="1:4" x14ac:dyDescent="0.35">
      <c r="A1042">
        <v>59913648</v>
      </c>
      <c r="B1042" t="s">
        <v>1058</v>
      </c>
      <c r="C1042">
        <v>39.99</v>
      </c>
      <c r="D1042" t="s">
        <v>1347</v>
      </c>
    </row>
    <row r="1043" spans="1:4" x14ac:dyDescent="0.35">
      <c r="A1043">
        <v>59913650</v>
      </c>
      <c r="B1043" t="s">
        <v>1058</v>
      </c>
      <c r="C1043">
        <v>39.99</v>
      </c>
      <c r="D1043" t="s">
        <v>1347</v>
      </c>
    </row>
    <row r="1044" spans="1:4" x14ac:dyDescent="0.35">
      <c r="A1044">
        <v>59913662</v>
      </c>
      <c r="B1044" t="s">
        <v>1059</v>
      </c>
      <c r="C1044">
        <v>329.99</v>
      </c>
      <c r="D1044" t="s">
        <v>1350</v>
      </c>
    </row>
    <row r="1045" spans="1:4" x14ac:dyDescent="0.35">
      <c r="A1045">
        <v>59913674</v>
      </c>
      <c r="B1045" t="s">
        <v>1060</v>
      </c>
      <c r="C1045">
        <v>349.99</v>
      </c>
      <c r="D1045" t="s">
        <v>1350</v>
      </c>
    </row>
    <row r="1046" spans="1:4" x14ac:dyDescent="0.35">
      <c r="A1046">
        <v>59913686</v>
      </c>
      <c r="B1046" t="s">
        <v>1056</v>
      </c>
      <c r="C1046">
        <v>299.99</v>
      </c>
      <c r="D1046" t="s">
        <v>1350</v>
      </c>
    </row>
    <row r="1047" spans="1:4" x14ac:dyDescent="0.35">
      <c r="A1047">
        <v>59913698</v>
      </c>
      <c r="B1047" t="s">
        <v>1059</v>
      </c>
      <c r="C1047">
        <v>329.99</v>
      </c>
      <c r="D1047" t="s">
        <v>1350</v>
      </c>
    </row>
    <row r="1048" spans="1:4" x14ac:dyDescent="0.35">
      <c r="A1048">
        <v>59913701</v>
      </c>
      <c r="B1048" t="s">
        <v>1061</v>
      </c>
      <c r="C1048">
        <v>59.99</v>
      </c>
      <c r="D1048" t="s">
        <v>1351</v>
      </c>
    </row>
    <row r="1049" spans="1:4" x14ac:dyDescent="0.35">
      <c r="A1049">
        <v>59913713</v>
      </c>
      <c r="B1049" t="s">
        <v>1061</v>
      </c>
      <c r="C1049">
        <v>59.99</v>
      </c>
      <c r="D1049" t="s">
        <v>1351</v>
      </c>
    </row>
    <row r="1050" spans="1:4" x14ac:dyDescent="0.35">
      <c r="A1050">
        <v>59913725</v>
      </c>
      <c r="B1050" t="s">
        <v>1061</v>
      </c>
      <c r="C1050">
        <v>59.99</v>
      </c>
      <c r="D1050" t="s">
        <v>1351</v>
      </c>
    </row>
    <row r="1051" spans="1:4" x14ac:dyDescent="0.35">
      <c r="A1051">
        <v>59913737</v>
      </c>
      <c r="B1051" t="s">
        <v>1061</v>
      </c>
      <c r="C1051">
        <v>59.99</v>
      </c>
      <c r="D1051" t="s">
        <v>1351</v>
      </c>
    </row>
    <row r="1052" spans="1:4" x14ac:dyDescent="0.35">
      <c r="A1052">
        <v>59913749</v>
      </c>
      <c r="B1052" t="s">
        <v>1061</v>
      </c>
      <c r="C1052">
        <v>59.99</v>
      </c>
      <c r="D1052" t="s">
        <v>1351</v>
      </c>
    </row>
    <row r="1053" spans="1:4" x14ac:dyDescent="0.35">
      <c r="A1053">
        <v>59913751</v>
      </c>
      <c r="B1053" t="s">
        <v>1060</v>
      </c>
      <c r="C1053">
        <v>349.99</v>
      </c>
      <c r="D1053" t="s">
        <v>1350</v>
      </c>
    </row>
    <row r="1054" spans="1:4" x14ac:dyDescent="0.35">
      <c r="A1054">
        <v>59913763</v>
      </c>
      <c r="B1054" t="s">
        <v>1056</v>
      </c>
      <c r="C1054">
        <v>299.99</v>
      </c>
      <c r="D1054" t="s">
        <v>1350</v>
      </c>
    </row>
    <row r="1055" spans="1:4" x14ac:dyDescent="0.35">
      <c r="A1055">
        <v>59913775</v>
      </c>
      <c r="B1055" t="s">
        <v>1059</v>
      </c>
      <c r="C1055">
        <v>329.99</v>
      </c>
      <c r="D1055" t="s">
        <v>1350</v>
      </c>
    </row>
    <row r="1056" spans="1:4" x14ac:dyDescent="0.35">
      <c r="A1056">
        <v>59913787</v>
      </c>
      <c r="B1056" t="s">
        <v>1060</v>
      </c>
      <c r="C1056">
        <v>349.99</v>
      </c>
      <c r="D1056" t="s">
        <v>1350</v>
      </c>
    </row>
    <row r="1057" spans="1:4" x14ac:dyDescent="0.35">
      <c r="A1057">
        <v>59913799</v>
      </c>
      <c r="B1057" t="s">
        <v>1056</v>
      </c>
      <c r="C1057">
        <v>299.99</v>
      </c>
      <c r="D1057" t="s">
        <v>1350</v>
      </c>
    </row>
    <row r="1058" spans="1:4" x14ac:dyDescent="0.35">
      <c r="A1058">
        <v>59913802</v>
      </c>
      <c r="B1058" t="s">
        <v>1059</v>
      </c>
      <c r="C1058">
        <v>329.99</v>
      </c>
      <c r="D1058" t="s">
        <v>1350</v>
      </c>
    </row>
    <row r="1059" spans="1:4" x14ac:dyDescent="0.35">
      <c r="A1059">
        <v>59913814</v>
      </c>
      <c r="B1059" t="s">
        <v>1060</v>
      </c>
      <c r="C1059">
        <v>349.99</v>
      </c>
      <c r="D1059" t="s">
        <v>1350</v>
      </c>
    </row>
    <row r="1060" spans="1:4" x14ac:dyDescent="0.35">
      <c r="A1060">
        <v>59913826</v>
      </c>
      <c r="B1060" t="s">
        <v>1062</v>
      </c>
      <c r="C1060">
        <v>79.989999999999995</v>
      </c>
      <c r="D1060" t="s">
        <v>1352</v>
      </c>
    </row>
    <row r="1061" spans="1:4" x14ac:dyDescent="0.35">
      <c r="A1061">
        <v>59913838</v>
      </c>
      <c r="B1061" t="s">
        <v>1063</v>
      </c>
      <c r="C1061">
        <v>89.99</v>
      </c>
      <c r="D1061" t="s">
        <v>1352</v>
      </c>
    </row>
    <row r="1062" spans="1:4" x14ac:dyDescent="0.35">
      <c r="A1062">
        <v>59913840</v>
      </c>
      <c r="B1062" t="s">
        <v>1064</v>
      </c>
      <c r="C1062">
        <v>89.99</v>
      </c>
      <c r="D1062" t="s">
        <v>1352</v>
      </c>
    </row>
    <row r="1063" spans="1:4" x14ac:dyDescent="0.35">
      <c r="A1063">
        <v>59913852</v>
      </c>
      <c r="B1063" t="s">
        <v>1062</v>
      </c>
      <c r="C1063">
        <v>79.989999999999995</v>
      </c>
      <c r="D1063" t="s">
        <v>1352</v>
      </c>
    </row>
    <row r="1064" spans="1:4" x14ac:dyDescent="0.35">
      <c r="A1064">
        <v>59913864</v>
      </c>
      <c r="B1064" t="s">
        <v>1063</v>
      </c>
      <c r="C1064">
        <v>89.99</v>
      </c>
      <c r="D1064" t="s">
        <v>1352</v>
      </c>
    </row>
    <row r="1065" spans="1:4" x14ac:dyDescent="0.35">
      <c r="A1065">
        <v>59913876</v>
      </c>
      <c r="B1065" t="s">
        <v>1064</v>
      </c>
      <c r="C1065">
        <v>89.99</v>
      </c>
      <c r="D1065" t="s">
        <v>1352</v>
      </c>
    </row>
    <row r="1066" spans="1:4" x14ac:dyDescent="0.35">
      <c r="A1066">
        <v>59913888</v>
      </c>
      <c r="B1066" t="s">
        <v>1062</v>
      </c>
      <c r="C1066">
        <v>79.989999999999995</v>
      </c>
      <c r="D1066" t="s">
        <v>1352</v>
      </c>
    </row>
    <row r="1067" spans="1:4" x14ac:dyDescent="0.35">
      <c r="A1067">
        <v>59913890</v>
      </c>
      <c r="B1067" t="s">
        <v>1063</v>
      </c>
      <c r="C1067">
        <v>89.99</v>
      </c>
      <c r="D1067" t="s">
        <v>1352</v>
      </c>
    </row>
    <row r="1068" spans="1:4" x14ac:dyDescent="0.35">
      <c r="A1068">
        <v>59913903</v>
      </c>
      <c r="B1068" t="s">
        <v>1064</v>
      </c>
      <c r="C1068">
        <v>89.99</v>
      </c>
      <c r="D1068" t="s">
        <v>1352</v>
      </c>
    </row>
    <row r="1069" spans="1:4" x14ac:dyDescent="0.35">
      <c r="A1069">
        <v>59913915</v>
      </c>
      <c r="B1069" t="s">
        <v>1062</v>
      </c>
      <c r="C1069">
        <v>79.989999999999995</v>
      </c>
      <c r="D1069" t="s">
        <v>1352</v>
      </c>
    </row>
    <row r="1070" spans="1:4" x14ac:dyDescent="0.35">
      <c r="A1070">
        <v>59913927</v>
      </c>
      <c r="B1070" t="s">
        <v>1063</v>
      </c>
      <c r="C1070">
        <v>89.99</v>
      </c>
      <c r="D1070" t="s">
        <v>1352</v>
      </c>
    </row>
    <row r="1071" spans="1:4" x14ac:dyDescent="0.35">
      <c r="A1071">
        <v>59913939</v>
      </c>
      <c r="B1071" t="s">
        <v>1064</v>
      </c>
      <c r="C1071">
        <v>89.99</v>
      </c>
      <c r="D1071" t="s">
        <v>1352</v>
      </c>
    </row>
    <row r="1072" spans="1:4" x14ac:dyDescent="0.35">
      <c r="A1072">
        <v>59914018</v>
      </c>
      <c r="B1072" t="s">
        <v>1065</v>
      </c>
      <c r="C1072">
        <v>74.989999999999995</v>
      </c>
      <c r="D1072" t="s">
        <v>1348</v>
      </c>
    </row>
    <row r="1073" spans="1:4" x14ac:dyDescent="0.35">
      <c r="A1073">
        <v>59914020</v>
      </c>
      <c r="B1073" t="s">
        <v>1067</v>
      </c>
      <c r="C1073">
        <v>79.989999999999995</v>
      </c>
      <c r="D1073" t="s">
        <v>1348</v>
      </c>
    </row>
    <row r="1074" spans="1:4" x14ac:dyDescent="0.35">
      <c r="A1074">
        <v>59914032</v>
      </c>
      <c r="B1074" t="s">
        <v>1069</v>
      </c>
      <c r="C1074">
        <v>99.99</v>
      </c>
      <c r="D1074" t="s">
        <v>1348</v>
      </c>
    </row>
    <row r="1075" spans="1:4" x14ac:dyDescent="0.35">
      <c r="A1075">
        <v>59914044</v>
      </c>
      <c r="B1075" t="s">
        <v>1071</v>
      </c>
      <c r="C1075">
        <v>99.99</v>
      </c>
      <c r="D1075" t="s">
        <v>1348</v>
      </c>
    </row>
    <row r="1076" spans="1:4" x14ac:dyDescent="0.35">
      <c r="A1076">
        <v>59914107</v>
      </c>
      <c r="B1076" t="s">
        <v>1073</v>
      </c>
      <c r="C1076">
        <v>219.99</v>
      </c>
      <c r="D1076" t="s">
        <v>1073</v>
      </c>
    </row>
    <row r="1077" spans="1:4" x14ac:dyDescent="0.35">
      <c r="A1077">
        <v>59914119</v>
      </c>
      <c r="B1077" t="s">
        <v>1074</v>
      </c>
      <c r="C1077">
        <v>69.989999999999995</v>
      </c>
      <c r="D1077" t="s">
        <v>1353</v>
      </c>
    </row>
    <row r="1078" spans="1:4" x14ac:dyDescent="0.35">
      <c r="A1078">
        <v>59914121</v>
      </c>
      <c r="B1078" t="s">
        <v>1075</v>
      </c>
      <c r="C1078">
        <v>79.989999999999995</v>
      </c>
      <c r="D1078" t="s">
        <v>1353</v>
      </c>
    </row>
    <row r="1079" spans="1:4" x14ac:dyDescent="0.35">
      <c r="A1079">
        <v>59914133</v>
      </c>
      <c r="B1079" t="s">
        <v>1074</v>
      </c>
      <c r="C1079">
        <v>69.989999999999995</v>
      </c>
      <c r="D1079" t="s">
        <v>1353</v>
      </c>
    </row>
    <row r="1080" spans="1:4" x14ac:dyDescent="0.35">
      <c r="A1080">
        <v>59914145</v>
      </c>
      <c r="B1080" t="s">
        <v>1075</v>
      </c>
      <c r="C1080">
        <v>79.989999999999995</v>
      </c>
      <c r="D1080" t="s">
        <v>1353</v>
      </c>
    </row>
    <row r="1081" spans="1:4" x14ac:dyDescent="0.35">
      <c r="A1081">
        <v>59914157</v>
      </c>
      <c r="B1081" t="s">
        <v>1074</v>
      </c>
      <c r="C1081">
        <v>69.989999999999995</v>
      </c>
      <c r="D1081" t="s">
        <v>1353</v>
      </c>
    </row>
    <row r="1082" spans="1:4" x14ac:dyDescent="0.35">
      <c r="A1082">
        <v>59914169</v>
      </c>
      <c r="B1082" t="s">
        <v>1075</v>
      </c>
      <c r="C1082">
        <v>79.989999999999995</v>
      </c>
      <c r="D1082" t="s">
        <v>1353</v>
      </c>
    </row>
    <row r="1083" spans="1:4" x14ac:dyDescent="0.35">
      <c r="A1083">
        <v>59914171</v>
      </c>
      <c r="B1083" t="s">
        <v>1076</v>
      </c>
      <c r="C1083">
        <v>69.989999999999995</v>
      </c>
      <c r="D1083" t="s">
        <v>1076</v>
      </c>
    </row>
    <row r="1084" spans="1:4" x14ac:dyDescent="0.35">
      <c r="A1084">
        <v>59914183</v>
      </c>
      <c r="B1084" t="s">
        <v>1076</v>
      </c>
      <c r="C1084">
        <v>69.989999999999995</v>
      </c>
      <c r="D1084" t="s">
        <v>1076</v>
      </c>
    </row>
    <row r="1085" spans="1:4" x14ac:dyDescent="0.35">
      <c r="A1085">
        <v>59914195</v>
      </c>
      <c r="B1085" t="s">
        <v>1076</v>
      </c>
      <c r="C1085">
        <v>69.989999999999995</v>
      </c>
      <c r="D1085" t="s">
        <v>1076</v>
      </c>
    </row>
    <row r="1086" spans="1:4" x14ac:dyDescent="0.35">
      <c r="A1086">
        <v>59914208</v>
      </c>
      <c r="B1086" t="s">
        <v>1077</v>
      </c>
      <c r="C1086">
        <v>69.989999999999995</v>
      </c>
      <c r="D1086" t="s">
        <v>1077</v>
      </c>
    </row>
    <row r="1087" spans="1:4" x14ac:dyDescent="0.35">
      <c r="A1087">
        <v>59914210</v>
      </c>
      <c r="B1087" t="s">
        <v>1077</v>
      </c>
      <c r="C1087">
        <v>69.989999999999995</v>
      </c>
      <c r="D1087" t="s">
        <v>1077</v>
      </c>
    </row>
    <row r="1088" spans="1:4" x14ac:dyDescent="0.35">
      <c r="A1088">
        <v>59914222</v>
      </c>
      <c r="B1088" t="s">
        <v>1078</v>
      </c>
      <c r="C1088">
        <v>39.99</v>
      </c>
      <c r="D1088" t="s">
        <v>1078</v>
      </c>
    </row>
    <row r="1089" spans="1:4" x14ac:dyDescent="0.35">
      <c r="A1089">
        <v>59915022</v>
      </c>
      <c r="B1089" t="s">
        <v>1036</v>
      </c>
      <c r="C1089">
        <v>59.99</v>
      </c>
      <c r="D1089" t="s">
        <v>1348</v>
      </c>
    </row>
    <row r="1090" spans="1:4" x14ac:dyDescent="0.35">
      <c r="A1090">
        <v>59915034</v>
      </c>
      <c r="B1090" t="s">
        <v>1038</v>
      </c>
      <c r="C1090">
        <v>64.989999999999995</v>
      </c>
      <c r="D1090" t="s">
        <v>1348</v>
      </c>
    </row>
    <row r="1091" spans="1:4" x14ac:dyDescent="0.35">
      <c r="A1091">
        <v>59915046</v>
      </c>
      <c r="B1091" t="s">
        <v>1065</v>
      </c>
      <c r="C1091">
        <v>74.989999999999995</v>
      </c>
      <c r="D1091" t="s">
        <v>1348</v>
      </c>
    </row>
    <row r="1092" spans="1:4" x14ac:dyDescent="0.35">
      <c r="A1092">
        <v>59915058</v>
      </c>
      <c r="B1092" t="s">
        <v>1067</v>
      </c>
      <c r="C1092">
        <v>79.989999999999995</v>
      </c>
      <c r="D1092" t="s">
        <v>1348</v>
      </c>
    </row>
    <row r="1093" spans="1:4" x14ac:dyDescent="0.35">
      <c r="A1093">
        <v>59915060</v>
      </c>
      <c r="B1093" t="s">
        <v>1069</v>
      </c>
      <c r="C1093">
        <v>99.99</v>
      </c>
      <c r="D1093" t="s">
        <v>1348</v>
      </c>
    </row>
    <row r="1094" spans="1:4" x14ac:dyDescent="0.35">
      <c r="A1094">
        <v>59915072</v>
      </c>
      <c r="B1094" t="s">
        <v>1071</v>
      </c>
      <c r="C1094">
        <v>99.99</v>
      </c>
      <c r="D1094" t="s">
        <v>1348</v>
      </c>
    </row>
    <row r="1095" spans="1:4" x14ac:dyDescent="0.35">
      <c r="A1095">
        <v>59915096</v>
      </c>
      <c r="B1095" t="s">
        <v>1036</v>
      </c>
      <c r="C1095">
        <v>59.99</v>
      </c>
      <c r="D1095" t="s">
        <v>1348</v>
      </c>
    </row>
    <row r="1096" spans="1:4" x14ac:dyDescent="0.35">
      <c r="A1096">
        <v>59915109</v>
      </c>
      <c r="B1096" t="s">
        <v>1038</v>
      </c>
      <c r="C1096">
        <v>64.989999999999995</v>
      </c>
      <c r="D1096" t="s">
        <v>1348</v>
      </c>
    </row>
    <row r="1097" spans="1:4" x14ac:dyDescent="0.35">
      <c r="A1097">
        <v>59915111</v>
      </c>
      <c r="B1097" t="s">
        <v>1065</v>
      </c>
      <c r="C1097">
        <v>74.989999999999995</v>
      </c>
      <c r="D1097" t="s">
        <v>1348</v>
      </c>
    </row>
    <row r="1098" spans="1:4" x14ac:dyDescent="0.35">
      <c r="A1098">
        <v>59915123</v>
      </c>
      <c r="B1098" t="s">
        <v>1067</v>
      </c>
      <c r="C1098">
        <v>79.989999999999995</v>
      </c>
      <c r="D1098" t="s">
        <v>1348</v>
      </c>
    </row>
    <row r="1099" spans="1:4" x14ac:dyDescent="0.35">
      <c r="A1099">
        <v>59915135</v>
      </c>
      <c r="B1099" t="s">
        <v>1069</v>
      </c>
      <c r="C1099">
        <v>99.99</v>
      </c>
      <c r="D1099" t="s">
        <v>1348</v>
      </c>
    </row>
    <row r="1100" spans="1:4" x14ac:dyDescent="0.35">
      <c r="A1100">
        <v>59915147</v>
      </c>
      <c r="B1100" t="s">
        <v>1071</v>
      </c>
      <c r="C1100">
        <v>99.99</v>
      </c>
      <c r="D1100" t="s">
        <v>1348</v>
      </c>
    </row>
    <row r="1101" spans="1:4" x14ac:dyDescent="0.35">
      <c r="A1101">
        <v>59920009</v>
      </c>
      <c r="B1101" t="s">
        <v>1013</v>
      </c>
      <c r="C1101">
        <v>185</v>
      </c>
      <c r="D1101" t="s">
        <v>1346</v>
      </c>
    </row>
    <row r="1102" spans="1:4" x14ac:dyDescent="0.35">
      <c r="A1102">
        <v>59920023</v>
      </c>
      <c r="B1102" t="s">
        <v>1015</v>
      </c>
      <c r="C1102">
        <v>230</v>
      </c>
      <c r="D1102" t="s">
        <v>1346</v>
      </c>
    </row>
    <row r="1103" spans="1:4" x14ac:dyDescent="0.35">
      <c r="A1103">
        <v>59920035</v>
      </c>
      <c r="B1103" t="s">
        <v>1016</v>
      </c>
      <c r="C1103">
        <v>250</v>
      </c>
      <c r="D1103" t="s">
        <v>1346</v>
      </c>
    </row>
    <row r="1104" spans="1:4" x14ac:dyDescent="0.35">
      <c r="A1104">
        <v>59920047</v>
      </c>
      <c r="B1104" t="s">
        <v>1017</v>
      </c>
      <c r="C1104">
        <v>305</v>
      </c>
      <c r="D1104" t="s">
        <v>1346</v>
      </c>
    </row>
    <row r="1105" spans="1:4" x14ac:dyDescent="0.35">
      <c r="A1105">
        <v>59923550</v>
      </c>
      <c r="B1105" t="s">
        <v>1087</v>
      </c>
      <c r="C1105">
        <v>59.99</v>
      </c>
      <c r="D1105" t="s">
        <v>1342</v>
      </c>
    </row>
    <row r="1106" spans="1:4" x14ac:dyDescent="0.35">
      <c r="A1106">
        <v>59925770</v>
      </c>
      <c r="B1106" t="s">
        <v>1088</v>
      </c>
      <c r="C1106">
        <v>199.99</v>
      </c>
      <c r="D1106" t="s">
        <v>1347</v>
      </c>
    </row>
    <row r="1107" spans="1:4" x14ac:dyDescent="0.35">
      <c r="A1107">
        <v>59925782</v>
      </c>
      <c r="B1107" t="s">
        <v>1089</v>
      </c>
      <c r="C1107">
        <v>229.99</v>
      </c>
      <c r="D1107" t="s">
        <v>1347</v>
      </c>
    </row>
    <row r="1108" spans="1:4" x14ac:dyDescent="0.35">
      <c r="A1108">
        <v>59925845</v>
      </c>
      <c r="B1108" t="s">
        <v>1021</v>
      </c>
      <c r="C1108">
        <v>249.99</v>
      </c>
      <c r="D1108" t="s">
        <v>1347</v>
      </c>
    </row>
    <row r="1109" spans="1:4" x14ac:dyDescent="0.35">
      <c r="A1109">
        <v>59925869</v>
      </c>
      <c r="B1109" t="s">
        <v>1090</v>
      </c>
      <c r="C1109">
        <v>279.99</v>
      </c>
      <c r="D1109" t="s">
        <v>1347</v>
      </c>
    </row>
    <row r="1110" spans="1:4" x14ac:dyDescent="0.35">
      <c r="A1110">
        <v>59925871</v>
      </c>
      <c r="B1110" t="s">
        <v>1091</v>
      </c>
      <c r="C1110">
        <v>279.99</v>
      </c>
      <c r="D1110" t="s">
        <v>1347</v>
      </c>
    </row>
    <row r="1111" spans="1:4" x14ac:dyDescent="0.35">
      <c r="A1111">
        <v>59930000</v>
      </c>
      <c r="B1111" t="s">
        <v>1013</v>
      </c>
      <c r="C1111">
        <v>185</v>
      </c>
      <c r="D1111" t="s">
        <v>1346</v>
      </c>
    </row>
    <row r="1112" spans="1:4" x14ac:dyDescent="0.35">
      <c r="A1112">
        <v>59930012</v>
      </c>
      <c r="B1112" t="s">
        <v>1014</v>
      </c>
      <c r="C1112">
        <v>200</v>
      </c>
      <c r="D1112" t="s">
        <v>1346</v>
      </c>
    </row>
    <row r="1113" spans="1:4" x14ac:dyDescent="0.35">
      <c r="A1113">
        <v>59930024</v>
      </c>
      <c r="B1113" t="s">
        <v>1015</v>
      </c>
      <c r="C1113">
        <v>230</v>
      </c>
      <c r="D1113" t="s">
        <v>1346</v>
      </c>
    </row>
    <row r="1114" spans="1:4" x14ac:dyDescent="0.35">
      <c r="A1114">
        <v>59930036</v>
      </c>
      <c r="B1114" t="s">
        <v>1016</v>
      </c>
      <c r="C1114">
        <v>250</v>
      </c>
      <c r="D1114" t="s">
        <v>1346</v>
      </c>
    </row>
    <row r="1115" spans="1:4" x14ac:dyDescent="0.35">
      <c r="A1115">
        <v>59930048</v>
      </c>
      <c r="B1115" t="s">
        <v>1017</v>
      </c>
      <c r="C1115">
        <v>305</v>
      </c>
      <c r="D1115" t="s">
        <v>1346</v>
      </c>
    </row>
    <row r="1116" spans="1:4" x14ac:dyDescent="0.35">
      <c r="A1116">
        <v>59930050</v>
      </c>
      <c r="B1116" t="s">
        <v>1018</v>
      </c>
      <c r="C1116">
        <v>305</v>
      </c>
      <c r="D1116" t="s">
        <v>1346</v>
      </c>
    </row>
    <row r="1117" spans="1:4" x14ac:dyDescent="0.35">
      <c r="A1117">
        <v>59940001</v>
      </c>
      <c r="B1117" t="s">
        <v>1092</v>
      </c>
      <c r="C1117">
        <v>60</v>
      </c>
      <c r="D1117" t="s">
        <v>1354</v>
      </c>
    </row>
    <row r="1118" spans="1:4" x14ac:dyDescent="0.35">
      <c r="A1118">
        <v>59940013</v>
      </c>
      <c r="B1118" t="s">
        <v>1093</v>
      </c>
      <c r="C1118">
        <v>76</v>
      </c>
      <c r="D1118" t="s">
        <v>1354</v>
      </c>
    </row>
    <row r="1119" spans="1:4" x14ac:dyDescent="0.35">
      <c r="A1119">
        <v>59940063</v>
      </c>
      <c r="B1119" t="s">
        <v>1094</v>
      </c>
      <c r="C1119">
        <v>143</v>
      </c>
      <c r="D1119" t="s">
        <v>1355</v>
      </c>
    </row>
    <row r="1120" spans="1:4" x14ac:dyDescent="0.35">
      <c r="A1120">
        <v>59940075</v>
      </c>
      <c r="B1120" t="s">
        <v>1096</v>
      </c>
      <c r="C1120">
        <v>167</v>
      </c>
      <c r="D1120" t="s">
        <v>1355</v>
      </c>
    </row>
    <row r="1121" spans="1:4" x14ac:dyDescent="0.35">
      <c r="A1121">
        <v>59950002</v>
      </c>
      <c r="B1121" t="s">
        <v>1097</v>
      </c>
      <c r="C1121">
        <v>220</v>
      </c>
      <c r="D1121" t="s">
        <v>1356</v>
      </c>
    </row>
    <row r="1122" spans="1:4" x14ac:dyDescent="0.35">
      <c r="A1122">
        <v>59950014</v>
      </c>
      <c r="B1122" t="s">
        <v>1098</v>
      </c>
      <c r="C1122">
        <v>275</v>
      </c>
      <c r="D1122" t="s">
        <v>1356</v>
      </c>
    </row>
    <row r="1123" spans="1:4" x14ac:dyDescent="0.35">
      <c r="A1123">
        <v>59950026</v>
      </c>
      <c r="B1123" t="s">
        <v>1099</v>
      </c>
      <c r="C1123">
        <v>330</v>
      </c>
      <c r="D1123" t="s">
        <v>1356</v>
      </c>
    </row>
    <row r="1124" spans="1:4" x14ac:dyDescent="0.35">
      <c r="A1124">
        <v>59950040</v>
      </c>
      <c r="B1124" t="s">
        <v>1100</v>
      </c>
      <c r="C1124">
        <v>365</v>
      </c>
      <c r="D1124" t="s">
        <v>1356</v>
      </c>
    </row>
    <row r="1125" spans="1:4" x14ac:dyDescent="0.35">
      <c r="A1125">
        <v>59950052</v>
      </c>
      <c r="B1125" t="s">
        <v>1101</v>
      </c>
      <c r="C1125">
        <v>365</v>
      </c>
      <c r="D1125" t="s">
        <v>1356</v>
      </c>
    </row>
    <row r="1126" spans="1:4" x14ac:dyDescent="0.35">
      <c r="A1126">
        <v>59950103</v>
      </c>
      <c r="B1126" t="s">
        <v>1097</v>
      </c>
      <c r="C1126">
        <v>220</v>
      </c>
      <c r="D1126" t="s">
        <v>1356</v>
      </c>
    </row>
    <row r="1127" spans="1:4" x14ac:dyDescent="0.35">
      <c r="A1127">
        <v>59950115</v>
      </c>
      <c r="B1127" t="s">
        <v>1098</v>
      </c>
      <c r="C1127">
        <v>275</v>
      </c>
      <c r="D1127" t="s">
        <v>1356</v>
      </c>
    </row>
    <row r="1128" spans="1:4" x14ac:dyDescent="0.35">
      <c r="A1128">
        <v>59950127</v>
      </c>
      <c r="B1128" t="s">
        <v>1099</v>
      </c>
      <c r="C1128">
        <v>330</v>
      </c>
      <c r="D1128" t="s">
        <v>1356</v>
      </c>
    </row>
    <row r="1129" spans="1:4" x14ac:dyDescent="0.35">
      <c r="A1129">
        <v>59950139</v>
      </c>
      <c r="B1129" t="s">
        <v>1102</v>
      </c>
      <c r="C1129">
        <v>330</v>
      </c>
      <c r="D1129" t="s">
        <v>1356</v>
      </c>
    </row>
    <row r="1130" spans="1:4" x14ac:dyDescent="0.35">
      <c r="A1130">
        <v>59950141</v>
      </c>
      <c r="B1130" t="s">
        <v>1100</v>
      </c>
      <c r="C1130">
        <v>365</v>
      </c>
      <c r="D1130" t="s">
        <v>1356</v>
      </c>
    </row>
    <row r="1131" spans="1:4" x14ac:dyDescent="0.35">
      <c r="A1131">
        <v>59950153</v>
      </c>
      <c r="B1131" t="s">
        <v>1101</v>
      </c>
      <c r="C1131">
        <v>365</v>
      </c>
      <c r="D1131" t="s">
        <v>1356</v>
      </c>
    </row>
    <row r="1132" spans="1:4" x14ac:dyDescent="0.35">
      <c r="A1132">
        <v>59951004</v>
      </c>
      <c r="B1132" t="s">
        <v>1103</v>
      </c>
      <c r="C1132">
        <v>59.99</v>
      </c>
      <c r="D1132" t="s">
        <v>1340</v>
      </c>
    </row>
    <row r="1133" spans="1:4" x14ac:dyDescent="0.35">
      <c r="A1133">
        <v>59951016</v>
      </c>
      <c r="B1133" t="s">
        <v>1107</v>
      </c>
      <c r="C1133">
        <v>79.989999999999995</v>
      </c>
      <c r="D1133" t="s">
        <v>1340</v>
      </c>
    </row>
    <row r="1134" spans="1:4" x14ac:dyDescent="0.35">
      <c r="A1134">
        <v>59951028</v>
      </c>
      <c r="B1134" t="s">
        <v>1110</v>
      </c>
      <c r="C1134">
        <v>79.989999999999995</v>
      </c>
      <c r="D1134" t="s">
        <v>1340</v>
      </c>
    </row>
    <row r="1135" spans="1:4" x14ac:dyDescent="0.35">
      <c r="A1135">
        <v>59951030</v>
      </c>
      <c r="B1135" t="s">
        <v>1111</v>
      </c>
      <c r="C1135">
        <v>49.99</v>
      </c>
      <c r="D1135" t="s">
        <v>1340</v>
      </c>
    </row>
    <row r="1136" spans="1:4" x14ac:dyDescent="0.35">
      <c r="A1136">
        <v>59951042</v>
      </c>
      <c r="B1136" t="s">
        <v>1112</v>
      </c>
      <c r="C1136">
        <v>49.99</v>
      </c>
      <c r="D1136" t="s">
        <v>1340</v>
      </c>
    </row>
    <row r="1137" spans="1:4" x14ac:dyDescent="0.35">
      <c r="A1137">
        <v>59951054</v>
      </c>
      <c r="B1137" t="s">
        <v>1113</v>
      </c>
      <c r="C1137">
        <v>69.989999999999995</v>
      </c>
      <c r="D1137" t="s">
        <v>1340</v>
      </c>
    </row>
    <row r="1138" spans="1:4" x14ac:dyDescent="0.35">
      <c r="A1138">
        <v>59951066</v>
      </c>
      <c r="B1138" t="s">
        <v>1114</v>
      </c>
      <c r="C1138">
        <v>69.989999999999995</v>
      </c>
      <c r="D1138" t="s">
        <v>1340</v>
      </c>
    </row>
    <row r="1139" spans="1:4" x14ac:dyDescent="0.35">
      <c r="A1139">
        <v>59951078</v>
      </c>
      <c r="B1139" t="s">
        <v>1115</v>
      </c>
      <c r="C1139">
        <v>19.989999999999998</v>
      </c>
      <c r="D1139" t="s">
        <v>1340</v>
      </c>
    </row>
    <row r="1140" spans="1:4" x14ac:dyDescent="0.35">
      <c r="A1140">
        <v>59951092</v>
      </c>
      <c r="B1140" t="s">
        <v>1116</v>
      </c>
      <c r="C1140">
        <v>59.99</v>
      </c>
      <c r="D1140" t="s">
        <v>1340</v>
      </c>
    </row>
    <row r="1141" spans="1:4" x14ac:dyDescent="0.35">
      <c r="A1141">
        <v>59951129</v>
      </c>
      <c r="B1141" t="s">
        <v>1117</v>
      </c>
      <c r="C1141">
        <v>199.99</v>
      </c>
      <c r="D1141" t="s">
        <v>1357</v>
      </c>
    </row>
    <row r="1142" spans="1:4" x14ac:dyDescent="0.35">
      <c r="A1142">
        <v>59953084</v>
      </c>
      <c r="B1142" t="s">
        <v>1118</v>
      </c>
      <c r="C1142">
        <v>129</v>
      </c>
      <c r="D1142" t="s">
        <v>1358</v>
      </c>
    </row>
    <row r="1143" spans="1:4" x14ac:dyDescent="0.35">
      <c r="A1143">
        <v>59953503</v>
      </c>
      <c r="B1143" t="s">
        <v>1120</v>
      </c>
      <c r="C1143">
        <v>125</v>
      </c>
      <c r="D1143" t="s">
        <v>1359</v>
      </c>
    </row>
    <row r="1144" spans="1:4" x14ac:dyDescent="0.35">
      <c r="A1144">
        <v>59953515</v>
      </c>
      <c r="B1144" t="s">
        <v>1122</v>
      </c>
      <c r="C1144">
        <v>165</v>
      </c>
      <c r="D1144" t="s">
        <v>1359</v>
      </c>
    </row>
    <row r="1145" spans="1:4" x14ac:dyDescent="0.35">
      <c r="A1145">
        <v>59953527</v>
      </c>
      <c r="B1145" t="s">
        <v>1123</v>
      </c>
      <c r="C1145">
        <v>175</v>
      </c>
      <c r="D1145" t="s">
        <v>1360</v>
      </c>
    </row>
    <row r="1146" spans="1:4" x14ac:dyDescent="0.35">
      <c r="A1146">
        <v>59953539</v>
      </c>
      <c r="B1146" t="s">
        <v>1125</v>
      </c>
      <c r="C1146">
        <v>215</v>
      </c>
      <c r="D1146" t="s">
        <v>1360</v>
      </c>
    </row>
    <row r="1147" spans="1:4" x14ac:dyDescent="0.35">
      <c r="A1147">
        <v>59953541</v>
      </c>
      <c r="B1147" t="s">
        <v>1126</v>
      </c>
      <c r="C1147">
        <v>175</v>
      </c>
      <c r="D1147" t="s">
        <v>1361</v>
      </c>
    </row>
    <row r="1148" spans="1:4" x14ac:dyDescent="0.35">
      <c r="A1148">
        <v>59953553</v>
      </c>
      <c r="B1148" t="s">
        <v>1128</v>
      </c>
      <c r="C1148">
        <v>215</v>
      </c>
      <c r="D1148" t="s">
        <v>1361</v>
      </c>
    </row>
    <row r="1149" spans="1:4" x14ac:dyDescent="0.35">
      <c r="A1149">
        <v>59953565</v>
      </c>
      <c r="B1149" t="s">
        <v>1129</v>
      </c>
      <c r="C1149">
        <v>225</v>
      </c>
      <c r="D1149" t="s">
        <v>1362</v>
      </c>
    </row>
    <row r="1150" spans="1:4" x14ac:dyDescent="0.35">
      <c r="A1150">
        <v>59953577</v>
      </c>
      <c r="B1150" t="s">
        <v>1130</v>
      </c>
      <c r="C1150">
        <v>275</v>
      </c>
      <c r="D1150" t="s">
        <v>1363</v>
      </c>
    </row>
    <row r="1151" spans="1:4" x14ac:dyDescent="0.35">
      <c r="A1151">
        <v>59953589</v>
      </c>
      <c r="B1151" t="s">
        <v>1131</v>
      </c>
      <c r="C1151">
        <v>225</v>
      </c>
      <c r="D1151" t="s">
        <v>1364</v>
      </c>
    </row>
    <row r="1152" spans="1:4" x14ac:dyDescent="0.35">
      <c r="A1152">
        <v>59953591</v>
      </c>
      <c r="B1152" t="s">
        <v>1132</v>
      </c>
      <c r="C1152">
        <v>275</v>
      </c>
      <c r="D1152" t="s">
        <v>1365</v>
      </c>
    </row>
    <row r="1153" spans="1:4" x14ac:dyDescent="0.35">
      <c r="A1153">
        <v>59960003</v>
      </c>
      <c r="B1153" t="s">
        <v>1133</v>
      </c>
      <c r="C1153">
        <v>170</v>
      </c>
      <c r="D1153" t="s">
        <v>1366</v>
      </c>
    </row>
    <row r="1154" spans="1:4" x14ac:dyDescent="0.35">
      <c r="A1154">
        <v>59960027</v>
      </c>
      <c r="B1154" t="s">
        <v>1134</v>
      </c>
      <c r="C1154">
        <v>185</v>
      </c>
      <c r="D1154" t="s">
        <v>1366</v>
      </c>
    </row>
    <row r="1155" spans="1:4" x14ac:dyDescent="0.35">
      <c r="A1155">
        <v>59960039</v>
      </c>
      <c r="B1155" t="s">
        <v>1135</v>
      </c>
      <c r="C1155">
        <v>200</v>
      </c>
      <c r="D1155" t="s">
        <v>1366</v>
      </c>
    </row>
    <row r="1156" spans="1:4" x14ac:dyDescent="0.35">
      <c r="A1156">
        <v>59960041</v>
      </c>
      <c r="B1156" t="s">
        <v>1136</v>
      </c>
      <c r="C1156">
        <v>220</v>
      </c>
      <c r="D1156" t="s">
        <v>1366</v>
      </c>
    </row>
    <row r="1157" spans="1:4" x14ac:dyDescent="0.35">
      <c r="A1157">
        <v>59960053</v>
      </c>
      <c r="B1157" t="s">
        <v>1137</v>
      </c>
      <c r="C1157">
        <v>290</v>
      </c>
      <c r="D1157" t="s">
        <v>1366</v>
      </c>
    </row>
    <row r="1158" spans="1:4" x14ac:dyDescent="0.35">
      <c r="A1158">
        <v>59960065</v>
      </c>
      <c r="B1158" t="s">
        <v>1138</v>
      </c>
      <c r="C1158">
        <v>290</v>
      </c>
      <c r="D1158" t="s">
        <v>1366</v>
      </c>
    </row>
    <row r="1159" spans="1:4" x14ac:dyDescent="0.35">
      <c r="A1159">
        <v>59960089</v>
      </c>
      <c r="B1159" t="s">
        <v>1139</v>
      </c>
      <c r="C1159">
        <v>320</v>
      </c>
      <c r="D1159" t="s">
        <v>1366</v>
      </c>
    </row>
    <row r="1160" spans="1:4" x14ac:dyDescent="0.35">
      <c r="A1160">
        <v>59960104</v>
      </c>
      <c r="B1160" t="s">
        <v>1133</v>
      </c>
      <c r="C1160">
        <v>170</v>
      </c>
      <c r="D1160" t="s">
        <v>1366</v>
      </c>
    </row>
    <row r="1161" spans="1:4" x14ac:dyDescent="0.35">
      <c r="A1161">
        <v>59960128</v>
      </c>
      <c r="B1161" t="s">
        <v>1134</v>
      </c>
      <c r="C1161">
        <v>185</v>
      </c>
      <c r="D1161" t="s">
        <v>1366</v>
      </c>
    </row>
    <row r="1162" spans="1:4" x14ac:dyDescent="0.35">
      <c r="A1162">
        <v>59960130</v>
      </c>
      <c r="B1162" t="s">
        <v>1135</v>
      </c>
      <c r="C1162">
        <v>200</v>
      </c>
      <c r="D1162" t="s">
        <v>1366</v>
      </c>
    </row>
    <row r="1163" spans="1:4" x14ac:dyDescent="0.35">
      <c r="A1163">
        <v>59960154</v>
      </c>
      <c r="B1163" t="s">
        <v>1137</v>
      </c>
      <c r="C1163">
        <v>290</v>
      </c>
      <c r="D1163" t="s">
        <v>1366</v>
      </c>
    </row>
    <row r="1164" spans="1:4" x14ac:dyDescent="0.35">
      <c r="A1164">
        <v>59960166</v>
      </c>
      <c r="B1164" t="s">
        <v>1140</v>
      </c>
      <c r="C1164">
        <v>290</v>
      </c>
      <c r="D1164" t="s">
        <v>1366</v>
      </c>
    </row>
    <row r="1165" spans="1:4" x14ac:dyDescent="0.35">
      <c r="A1165">
        <v>59960178</v>
      </c>
      <c r="B1165" t="s">
        <v>1141</v>
      </c>
      <c r="C1165">
        <v>320</v>
      </c>
      <c r="D1165" t="s">
        <v>1366</v>
      </c>
    </row>
    <row r="1166" spans="1:4" x14ac:dyDescent="0.35">
      <c r="A1166">
        <v>59960180</v>
      </c>
      <c r="B1166" t="s">
        <v>1139</v>
      </c>
      <c r="C1166">
        <v>320</v>
      </c>
      <c r="D1166" t="s">
        <v>1366</v>
      </c>
    </row>
    <row r="1167" spans="1:4" x14ac:dyDescent="0.35">
      <c r="A1167">
        <v>59960205</v>
      </c>
      <c r="B1167" t="s">
        <v>1133</v>
      </c>
      <c r="C1167">
        <v>170</v>
      </c>
      <c r="D1167" t="s">
        <v>1366</v>
      </c>
    </row>
    <row r="1168" spans="1:4" x14ac:dyDescent="0.35">
      <c r="A1168">
        <v>59960229</v>
      </c>
      <c r="B1168" t="s">
        <v>1134</v>
      </c>
      <c r="C1168">
        <v>185</v>
      </c>
      <c r="D1168" t="s">
        <v>1366</v>
      </c>
    </row>
    <row r="1169" spans="1:4" x14ac:dyDescent="0.35">
      <c r="A1169">
        <v>59960231</v>
      </c>
      <c r="B1169" t="s">
        <v>1135</v>
      </c>
      <c r="C1169">
        <v>200</v>
      </c>
      <c r="D1169" t="s">
        <v>1366</v>
      </c>
    </row>
    <row r="1170" spans="1:4" x14ac:dyDescent="0.35">
      <c r="A1170">
        <v>59960243</v>
      </c>
      <c r="B1170" t="s">
        <v>1136</v>
      </c>
      <c r="C1170">
        <v>220</v>
      </c>
      <c r="D1170" t="s">
        <v>1366</v>
      </c>
    </row>
    <row r="1171" spans="1:4" x14ac:dyDescent="0.35">
      <c r="A1171">
        <v>59960255</v>
      </c>
      <c r="B1171" t="s">
        <v>1137</v>
      </c>
      <c r="C1171">
        <v>290</v>
      </c>
      <c r="D1171" t="s">
        <v>1366</v>
      </c>
    </row>
    <row r="1172" spans="1:4" x14ac:dyDescent="0.35">
      <c r="A1172">
        <v>59960267</v>
      </c>
      <c r="B1172" t="s">
        <v>1140</v>
      </c>
      <c r="C1172">
        <v>290</v>
      </c>
      <c r="D1172" t="s">
        <v>1366</v>
      </c>
    </row>
    <row r="1173" spans="1:4" x14ac:dyDescent="0.35">
      <c r="A1173">
        <v>59960279</v>
      </c>
      <c r="B1173" t="s">
        <v>1141</v>
      </c>
      <c r="C1173">
        <v>320</v>
      </c>
      <c r="D1173" t="s">
        <v>1366</v>
      </c>
    </row>
    <row r="1174" spans="1:4" x14ac:dyDescent="0.35">
      <c r="A1174">
        <v>59960281</v>
      </c>
      <c r="B1174" t="s">
        <v>1139</v>
      </c>
      <c r="C1174">
        <v>320</v>
      </c>
      <c r="D1174" t="s">
        <v>1366</v>
      </c>
    </row>
    <row r="1175" spans="1:4" x14ac:dyDescent="0.35">
      <c r="A1175">
        <v>59961005</v>
      </c>
      <c r="B1175" t="s">
        <v>1142</v>
      </c>
      <c r="C1175">
        <v>120</v>
      </c>
      <c r="D1175" t="s">
        <v>1367</v>
      </c>
    </row>
    <row r="1176" spans="1:4" x14ac:dyDescent="0.35">
      <c r="A1176">
        <v>59961017</v>
      </c>
      <c r="B1176" t="s">
        <v>1142</v>
      </c>
      <c r="C1176">
        <v>145</v>
      </c>
      <c r="D1176" t="s">
        <v>1367</v>
      </c>
    </row>
    <row r="1177" spans="1:4" x14ac:dyDescent="0.35">
      <c r="A1177">
        <v>59961029</v>
      </c>
      <c r="B1177" t="s">
        <v>1143</v>
      </c>
      <c r="C1177">
        <v>200</v>
      </c>
      <c r="D1177" t="s">
        <v>1368</v>
      </c>
    </row>
    <row r="1178" spans="1:4" x14ac:dyDescent="0.35">
      <c r="A1178">
        <v>59961031</v>
      </c>
      <c r="B1178" t="s">
        <v>1143</v>
      </c>
      <c r="C1178">
        <v>210</v>
      </c>
      <c r="D1178" t="s">
        <v>1368</v>
      </c>
    </row>
    <row r="1179" spans="1:4" x14ac:dyDescent="0.35">
      <c r="A1179">
        <v>59961043</v>
      </c>
      <c r="B1179" t="s">
        <v>1144</v>
      </c>
      <c r="C1179">
        <v>160</v>
      </c>
      <c r="D1179" t="s">
        <v>1144</v>
      </c>
    </row>
    <row r="1180" spans="1:4" x14ac:dyDescent="0.35">
      <c r="A1180">
        <v>59961055</v>
      </c>
      <c r="B1180" t="s">
        <v>1144</v>
      </c>
      <c r="C1180">
        <v>185</v>
      </c>
      <c r="D1180" t="s">
        <v>1144</v>
      </c>
    </row>
    <row r="1181" spans="1:4" x14ac:dyDescent="0.35">
      <c r="A1181">
        <v>59962021</v>
      </c>
      <c r="B1181" t="s">
        <v>1145</v>
      </c>
      <c r="C1181">
        <v>79.989999999999995</v>
      </c>
      <c r="D1181" t="s">
        <v>1369</v>
      </c>
    </row>
    <row r="1182" spans="1:4" x14ac:dyDescent="0.35">
      <c r="A1182">
        <v>59981108</v>
      </c>
      <c r="B1182" t="s">
        <v>1146</v>
      </c>
      <c r="C1182">
        <v>169.99</v>
      </c>
      <c r="D1182" t="s">
        <v>1370</v>
      </c>
    </row>
    <row r="1183" spans="1:4" x14ac:dyDescent="0.35">
      <c r="A1183">
        <v>59981110</v>
      </c>
      <c r="B1183" t="s">
        <v>1147</v>
      </c>
      <c r="C1183">
        <v>189.99</v>
      </c>
      <c r="D1183" t="s">
        <v>1370</v>
      </c>
    </row>
    <row r="1184" spans="1:4" x14ac:dyDescent="0.35">
      <c r="A1184">
        <v>59981122</v>
      </c>
      <c r="B1184" t="s">
        <v>1148</v>
      </c>
      <c r="C1184">
        <v>199.99</v>
      </c>
      <c r="D1184" t="s">
        <v>1370</v>
      </c>
    </row>
    <row r="1185" spans="1:4" x14ac:dyDescent="0.35">
      <c r="A1185">
        <v>59981134</v>
      </c>
      <c r="B1185" t="s">
        <v>1149</v>
      </c>
      <c r="C1185">
        <v>199.99</v>
      </c>
      <c r="D1185" t="s">
        <v>1370</v>
      </c>
    </row>
    <row r="1186" spans="1:4" x14ac:dyDescent="0.35">
      <c r="A1186">
        <v>59999282</v>
      </c>
      <c r="B1186" t="s">
        <v>1150</v>
      </c>
      <c r="C1186">
        <v>59.99</v>
      </c>
      <c r="D1186" t="s">
        <v>1371</v>
      </c>
    </row>
    <row r="1187" spans="1:4" x14ac:dyDescent="0.35">
      <c r="A1187">
        <v>59999840</v>
      </c>
      <c r="B1187" t="s">
        <v>1151</v>
      </c>
      <c r="C1187">
        <v>349.99</v>
      </c>
      <c r="D1187" t="s">
        <v>1345</v>
      </c>
    </row>
    <row r="1188" spans="1:4" x14ac:dyDescent="0.35">
      <c r="A1188">
        <v>59999864</v>
      </c>
      <c r="B1188" t="s">
        <v>1152</v>
      </c>
      <c r="C1188">
        <v>199.99</v>
      </c>
      <c r="D1188" t="s">
        <v>1344</v>
      </c>
    </row>
    <row r="1189" spans="1:4" x14ac:dyDescent="0.35">
      <c r="A1189">
        <v>59999876</v>
      </c>
      <c r="B1189" t="s">
        <v>1153</v>
      </c>
      <c r="C1189">
        <v>259.99</v>
      </c>
      <c r="D1189" t="s">
        <v>1344</v>
      </c>
    </row>
    <row r="1190" spans="1:4" x14ac:dyDescent="0.35">
      <c r="A1190">
        <v>59999941</v>
      </c>
      <c r="B1190" t="s">
        <v>1154</v>
      </c>
      <c r="C1190">
        <v>249.99</v>
      </c>
      <c r="D1190" t="s">
        <v>1343</v>
      </c>
    </row>
    <row r="1191" spans="1:4" x14ac:dyDescent="0.35">
      <c r="A1191">
        <v>59999953</v>
      </c>
      <c r="B1191" t="s">
        <v>1155</v>
      </c>
      <c r="C1191">
        <v>249.99</v>
      </c>
      <c r="D1191" t="s">
        <v>1343</v>
      </c>
    </row>
    <row r="1192" spans="1:4" x14ac:dyDescent="0.35">
      <c r="A1192">
        <v>59999965</v>
      </c>
      <c r="B1192" t="s">
        <v>1156</v>
      </c>
      <c r="C1192">
        <v>249.99</v>
      </c>
      <c r="D1192" t="s">
        <v>1345</v>
      </c>
    </row>
    <row r="1193" spans="1:4" x14ac:dyDescent="0.35">
      <c r="A1193">
        <v>59999977</v>
      </c>
      <c r="B1193" t="s">
        <v>1157</v>
      </c>
      <c r="D1193" t="s">
        <v>1372</v>
      </c>
    </row>
  </sheetData>
  <pageMargins left="0.7" right="0.7" top="0.75" bottom="0.75" header="0.3" footer="0.3"/>
</worksheet>
</file>

<file path=docMetadata/LabelInfo.xml><?xml version="1.0" encoding="utf-8"?>
<clbl:labelList xmlns:clbl="http://schemas.microsoft.com/office/2020/mipLabelMetadata">
  <clbl:label id="{3446bcb8-9d33-4e62-9f31-4f379d77fedc}" enabled="1" method="Privileged" siteId="{33ef7aef-b39d-4300-9645-938131b31d9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Johnson</dc:creator>
  <cp:lastModifiedBy>Taylor Johnson</cp:lastModifiedBy>
  <dcterms:created xsi:type="dcterms:W3CDTF">2026-03-18T16:31:22Z</dcterms:created>
  <dcterms:modified xsi:type="dcterms:W3CDTF">2026-03-19T17:47:53Z</dcterms:modified>
</cp:coreProperties>
</file>